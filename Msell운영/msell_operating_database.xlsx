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Msell운영\"/>
    </mc:Choice>
  </mc:AlternateContent>
  <x:bookViews>
    <x:workbookView xWindow="0" yWindow="0" windowWidth="28545" windowHeight="11325" tabRatio="500" activeTab="9"/>
  </x:bookViews>
  <x:sheets>
    <x:sheet name="Controls" sheetId="1" r:id="rId4"/>
    <x:sheet name="README" sheetId="2" r:id="rId5"/>
    <x:sheet name="Asset_Catalog" sheetId="3" r:id="rId6"/>
    <x:sheet name="Sellers" sheetId="4" r:id="rId7"/>
    <x:sheet name="Buyers" sheetId="5" r:id="rId8"/>
    <x:sheet name="Outreach_Leads" sheetId="6" r:id="rId9"/>
    <x:sheet name="Listings" sheetId="7" r:id="rId10"/>
    <x:sheet name="Verification" sheetId="8" r:id="rId11"/>
    <x:sheet name="Deals" sheetId="9" r:id="rId12"/>
    <x:sheet name="Transfer_Checklists" sheetId="10" r:id="rId13"/>
    <x:sheet name="Escrow" sheetId="11" r:id="rId14"/>
    <x:sheet name="Marketing_Calendar" sheetId="12" r:id="rId15"/>
    <x:sheet name="AI_Pipeline" sheetId="13" r:id="rId16"/>
    <x:sheet name="Revenue_Model" sheetId="14" r:id="rId17"/>
    <x:sheet name="KPI_Dashboard" sheetId="15" r:id="rId18"/>
    <x:sheet name="Risk_Log" sheetId="16" r:id="rId19"/>
    <x:sheet name="Admin_Ops" sheetId="17" r:id="rId20"/>
  </x:sheets>
  <x:definedNames>
    <x:definedName name="_xlnm._FilterDatabase" localSheetId="0" hidden="1">'Controls'!$A$1:$C$9</x:definedName>
    <x:definedName name="_xlnm._FilterDatabase" localSheetId="1" hidden="1">'README'!$A$1:$B$17</x:definedName>
    <x:definedName name="_xlnm._FilterDatabase" localSheetId="2" hidden="1">Asset_Catalog!$A$1:$F$301</x:definedName>
    <x:definedName name="_xlnm._FilterDatabase" localSheetId="3" hidden="1">Sellers!$A$1:$G$6</x:definedName>
    <x:definedName name="_xlnm._FilterDatabase" localSheetId="4" hidden="1">Buyers!$A$1:$G$4</x:definedName>
    <x:definedName name="_xlnm._FilterDatabase" localSheetId="5" hidden="1">Outreach_Leads!$A$1:$H$5</x:definedName>
    <x:definedName name="_xlnm._FilterDatabase" localSheetId="6" hidden="1">Listings!$A$1:$K$6</x:definedName>
    <x:definedName name="_xlnm._FilterDatabase" localSheetId="7" hidden="1">Verification!$A$1:$G$5</x:definedName>
    <x:definedName name="_xlnm._FilterDatabase" localSheetId="8" hidden="1">Deals!$A$1:$I$4</x:definedName>
    <x:definedName name="_xlnm._FilterDatabase" localSheetId="9" hidden="1">Transfer_Checklists!$A$1:$F$5</x:definedName>
    <x:definedName name="_xlnm._FilterDatabase" localSheetId="10" hidden="1">Escrow!$A$1:$G$3</x:definedName>
    <x:definedName name="_xlnm._FilterDatabase" localSheetId="11" hidden="1">Marketing_Calendar!$A$1:$G$5</x:definedName>
    <x:definedName name="_xlnm._FilterDatabase" localSheetId="12" hidden="1">AI_Pipeline!$A$1:$F$5</x:definedName>
    <x:definedName name="_xlnm._FilterDatabase" localSheetId="13" hidden="1">'Revenue_Model'!$A$1:$C$18</x:definedName>
    <x:definedName name="_xlnm._FilterDatabase" localSheetId="14" hidden="1">KPI_Dashboard!$A$2:$D$10</x:definedName>
    <x:definedName name="_xlnm._FilterDatabase" localSheetId="15" hidden="1">'Risk_Log'!$A$1:$G$5</x:definedName>
    <x:definedName name="_xlnm._FilterDatabase" localSheetId="16" hidden="1">Admin_Ops!$A$1:$F$5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OpenAI</x:author>
  </x:authors>
  <x:commentList>
    <x:comment ref="C3:C3" authorId="0">
      <x:text>
        <x:r>
          <x:t>Linked from Controls sheet</x:t>
        </x:r>
      </x:text>
    </x:comment>
    <x:comment ref="C5:C5" authorId="0">
      <x:text>
        <x:r>
          <x:t>Linked from Controls sheet</x:t>
        </x:r>
      </x:text>
    </x:comment>
    <x:comment ref="C7:C7" authorId="0">
      <x:text>
        <x:r>
          <x:t>Linked from Controls sheet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<x:sst xmlns:r="http://schemas.openxmlformats.org/officeDocument/2006/relationships" xmlns:c="http://schemas.openxmlformats.org/drawingml/2006/chart" xmlns:x="http://schemas.openxmlformats.org/spreadsheetml/2006/main" count="1944" uniqueCount="625">
  <x:si>
    <x:t>Risk_Log</x:t>
  </x:si>
  <x:si>
    <x:t>Ads / Traffic Network</x:t>
  </x:si>
  <x:si>
    <x:t>SEO / Search Traffic</x:t>
  </x:si>
  <x:si>
    <x:t>VIP Broadcast Channel</x:t>
  </x:si>
  <x:si>
    <x:t>Promo Broadcast Channel</x:t>
  </x:si>
  <x:si>
    <x:t>Community Alert Channel</x:t>
  </x:si>
  <x:si>
    <x:t>Subscriber Alert List</x:t>
  </x:si>
  <x:si>
    <x:t>Long Tail SEO Network</x:t>
  </x:si>
  <x:si>
    <x:t>Marketplace SEO Blog</x:t>
  </x:si>
  <x:si>
    <x:t>Traffic Arbitrage Site</x:t>
  </x:si>
  <x:si>
    <x:t>Media Buying Network</x:t>
  </x:si>
  <x:si>
    <x:t>Search Traffic Portal</x:t>
  </x:si>
  <x:si>
    <x:t>Event Listing Website</x:t>
  </x:si>
  <x:si>
    <x:t>Facebook Ads Account</x:t>
  </x:si>
  <x:si>
    <x:t>Content Aggregator Site</x:t>
  </x:si>
  <x:si>
    <x:t>VK Page</x:t>
  </x:si>
  <x:si>
    <x:t>Discord</x:t>
  </x:si>
  <x:si>
    <x:t>AI_Pipeline</x:t>
  </x:si>
  <x:si>
    <x:t>Risk management register</x:t>
  </x:si>
  <x:si>
    <x:t>Mighty Networks Community</x:t>
  </x:si>
  <x:si>
    <x:t>Average transaction size</x:t>
  </x:si>
  <x:si>
    <x:t>Target Deal Conversion Rate</x:t>
  </x:si>
  <x:si>
    <x:t>Advanced verification price</x:t>
  </x:si>
  <x:si>
    <x:t>Verification Window Days</x:t>
  </x:si>
  <x:si>
    <x:t>Campaign execution tracker</x:t>
  </x:si>
  <x:si>
    <x:t>Admin_Ops</x:t>
  </x:si>
  <x:si>
    <x:t>Creator Brand Account</x:t>
  </x:si>
  <x:si>
    <x:t>Tech Influencer Account</x:t>
  </x:si>
  <x:si>
    <x:t>Content Creator Account</x:t>
  </x:si>
  <x:si>
    <x:t>Art Influencer Account</x:t>
  </x:si>
  <x:si>
    <x:t>Business Social Page</x:t>
  </x:si>
  <x:si>
    <x:t>Gaming Clan Community</x:t>
  </x:si>
  <x:si>
    <x:t>YouTube Shorts Channel</x:t>
  </x:si>
  <x:si>
    <x:t>Kick Streaming Channel</x:t>
  </x:si>
  <x:si>
    <x:t>Video Content Library</x:t>
  </x:si>
  <x:si>
    <x:t>Shortform Video Channel</x:t>
  </x:si>
  <x:si>
    <x:t>Membership Community</x:t>
  </x:si>
  <x:si>
    <x:t>Local Community Forum</x:t>
  </x:si>
  <x:si>
    <x:t>Longform Video Channel</x:t>
  </x:si>
  <x:si>
    <x:t>Brand Promotion Network</x:t>
  </x:si>
  <x:si>
    <x:t>Telegram Social Channel</x:t>
  </x:si>
  <x:si>
    <x:t>Food Influencer Account</x:t>
  </x:si>
  <x:si>
    <x:t>Creator Fan Community</x:t>
  </x:si>
  <x:si>
    <x:t>Investment Newsletter</x:t>
  </x:si>
  <x:si>
    <x:t>Niche Authority Site</x:t>
  </x:si>
  <x:si>
    <x:t>Entertainment Channel</x:t>
  </x:si>
  <x:si>
    <x:t>Creator Studio Channel</x:t>
  </x:si>
  <x:si>
    <x:t>Landing Page Network</x:t>
  </x:si>
  <x:si>
    <x:t>Knowledge Base Website</x:t>
  </x:si>
  <x:si>
    <x:t>Kakao Broadcast List</x:t>
  </x:si>
  <x:si>
    <x:t>Ecommerce Newsletter</x:t>
  </x:si>
  <x:si>
    <x:t>Chatbot Subscriber List</x:t>
  </x:si>
  <x:si>
    <x:t>Kids Content Channel</x:t>
  </x:si>
  <x:si>
    <x:t>Email Marketing List</x:t>
  </x:si>
  <x:si>
    <x:t>Marketing Newsletter</x:t>
  </x:si>
  <x:si>
    <x:t>Streaming Media Brand</x:t>
  </x:si>
  <x:si>
    <x:t>MailerLite Newsletter</x:t>
  </x:si>
  <x:si>
    <x:t>Lead Generation Website</x:t>
  </x:si>
  <x:si>
    <x:t>Multi-Channel Network</x:t>
  </x:si>
  <x:si>
    <x:t>ConvertKit Newsletter</x:t>
  </x:si>
  <x:si>
    <x:t>Buyer Subscription Fee</x:t>
  </x:si>
  <x:si>
    <x:t>Default Transaction Fee</x:t>
  </x:si>
  <x:si>
    <x:t>Used in revenue model</x:t>
  </x:si>
  <x:si>
    <x:t>Featured Listing Fee</x:t>
  </x:si>
  <x:si>
    <x:t>Target Monthly Listings</x:t>
  </x:si>
  <x:si>
    <x:t>Deals / active listings</x:t>
  </x:si>
  <x:si>
    <x:t>LINE Official Account</x:t>
  </x:si>
  <x:si>
    <x:t>Email Broadcast List</x:t>
  </x:si>
  <x:si>
    <x:t>Escrow state tracker</x:t>
  </x:si>
  <x:si>
    <x:t>Messenger Bot Audience</x:t>
  </x:si>
  <x:si>
    <x:t>Telegram Broadcast Bot</x:t>
  </x:si>
  <x:si>
    <x:t>Verification_Required</x:t>
  </x:si>
  <x:si>
    <x:t>Controls</x:t>
  </x:si>
  <x:si>
    <x:t>Listings</x:t>
  </x:si>
  <x:si>
    <x:t>Parameter</x:t>
  </x:si>
  <x:si>
    <x:t>Notes</x:t>
  </x:si>
  <x:si>
    <x:t>Value</x:t>
  </x:si>
  <x:si>
    <x:t>Status</x:t>
  </x:si>
  <x:si>
    <x:t>Active</x:t>
  </x:si>
  <x:si>
    <x:t>Purpose</x:t>
  </x:si>
  <x:si>
    <x:t>Sellers</x:t>
  </x:si>
  <x:si>
    <x:t>Sheet</x:t>
  </x:si>
  <x:si>
    <x:t>Pending</x:t>
  </x:si>
  <x:si>
    <x:t>Medium</x:t>
  </x:si>
  <x:si>
    <x:t>Deals</x:t>
  </x:si>
  <x:si>
    <x:t>High</x:t>
  </x:si>
  <x:si>
    <x:t>Buyers</x:t>
  </x:si>
  <x:si>
    <x:t>Escrow</x:t>
  </x:si>
  <x:si>
    <x:t>active</x:t>
  </x:si>
  <x:si>
    <x:t>Average monthly fee per featured listing</x:t>
  </x:si>
  <x:si>
    <x:t>Deal room pipeline and commercial status</x:t>
  </x:si>
  <x:si>
    <x:t>Transfer checklist + verification window</x:t>
  </x:si>
  <x:si>
    <x:t>Need updated payout screenshot</x:t>
  </x:si>
  <x:si>
    <x:t>Discord server valuation guide</x:t>
  </x:si>
  <x:si>
    <x:t>Featured listings weekly digest</x:t>
  </x:si>
  <x:si>
    <x:t>Buyer invited to Brand Account</x:t>
  </x:si>
  <x:si>
    <x:t>How to sell a Telegram channel</x:t>
  </x:si>
  <x:si>
    <x:t>Admin proof + analytics review</x:t>
  </x:si>
  <x:si>
    <x:t>Standard buyer review period</x:t>
  </x:si>
  <x:si>
    <x:t>Seller CRM and status tracking</x:t>
  </x:si>
  <x:si>
    <x:t>Buyer CRM and demand profile</x:t>
  </x:si>
  <x:si>
    <x:t>Active and draft asset listings</x:t>
  </x:si>
  <x:si>
    <x:t>Lifestyle Influencer Account</x:t>
  </x:si>
  <x:si>
    <x:t>Education Influencer Account</x:t>
  </x:si>
  <x:si>
    <x:t>Affiliate Marketing Newsletter</x:t>
  </x:si>
  <x:si>
    <x:t>Discord Announcement Channel</x:t>
  </x:si>
  <x:si>
    <x:t>Notification Subscriber Network</x:t>
  </x:si>
  <x:si>
    <x:t>Push Notification Subscribers</x:t>
  </x:si>
  <x:si>
    <x:t>Membership Notification Channel</x:t>
  </x:si>
  <x:si>
    <x:t>Customer Notification Channel</x:t>
  </x:si>
  <x:si>
    <x:t>Sponsored Newsletter Placement</x:t>
  </x:si>
  <x:si>
    <x:t>Advertising Placement Network</x:t>
  </x:si>
  <x:si>
    <x:t>Influencer Marketing Network</x:t>
  </x:si>
  <x:si>
    <x:t>Ad Network Publisher Account</x:t>
  </x:si>
  <x:si>
    <x:t>Affiliate Influencer Network</x:t>
  </x:si>
  <x:si>
    <x:t>Audience Monetization Network</x:t>
  </x:si>
  <x:si>
    <x:t>Influencer Sponsorship Network</x:t>
  </x:si>
  <x:si>
    <x:t>https://cafe.naver.com/example3</x:t>
  </x:si>
  <x:si>
    <x:t>https://youtube.com/example4</x:t>
  </x:si>
  <x:si>
    <x:t>AI discovery / scoring / outreach automation tracker</x:t>
  </x:si>
  <x:si>
    <x:t>Primary owner wait period completed</x:t>
  </x:si>
  <x:si>
    <x:t>Core operating KPIs with formulas</x:t>
  </x:si>
  <x:si>
    <x:t>Mobile App Notification Audience</x:t>
  </x:si>
  <x:si>
    <x:t>Monthly revenue model with formulas</x:t>
  </x:si>
  <x:si>
    <x:t>Advertising Distribution Network</x:t>
  </x:si>
  <x:si>
    <x:t>Monthly average subscription fee</x:t>
  </x:si>
  <x:si>
    <x:t>Ownership / metrics / revenue verification tracker</x:t>
  </x:si>
  <x:si>
    <x:t>Primary_Asset_Type</x:t>
  </x:si>
  <x:si>
    <x:t>Transfer_Checklists</x:t>
  </x:si>
  <x:si>
    <x:t>Verification Fee</x:t>
  </x:si>
  <x:si>
    <x:t>Marketing_Calendar</x:t>
  </x:si>
  <x:si>
    <x:t>Control assumption</x:t>
  </x:si>
  <x:si>
    <x:t>Template Available</x:t>
  </x:si>
  <x:si>
    <x:t>KakaoTalk Open Chat</x:t>
  </x:si>
  <x:si>
    <x:t>Transfer_Template</x:t>
  </x:si>
  <x:si>
    <x:t>WhatsApp Community</x:t>
  </x:si>
  <x:si>
    <x:t>Circle Community</x:t>
  </x:si>
  <x:si>
    <x:t>Crypto Community</x:t>
  </x:si>
  <x:si>
    <x:t>Pinterest Account</x:t>
  </x:si>
  <x:si>
    <x:t>News Social Channel</x:t>
  </x:si>
  <x:si>
    <x:t>Content Platform</x:t>
  </x:si>
  <x:si>
    <x:t>Community Platform</x:t>
  </x:si>
  <x:si>
    <x:t>AfreecaTV Channel</x:t>
  </x:si>
  <x:si>
    <x:t>Documentary Channel</x:t>
  </x:si>
  <x:si>
    <x:t>Startup Community</x:t>
  </x:si>
  <x:si>
    <x:t>Dailymotion Channel</x:t>
  </x:si>
  <x:si>
    <x:t>Interview Channel</x:t>
  </x:si>
  <x:si>
    <x:t>Kuaishou Account</x:t>
  </x:si>
  <x:si>
    <x:t>Naver TV Channel</x:t>
  </x:si>
  <x:si>
    <x:t>LinkedIn Profile</x:t>
  </x:si>
  <x:si>
    <x:t>Telegram Channel</x:t>
  </x:si>
  <x:si>
    <x:t>Snapchat Account</x:t>
  </x:si>
  <x:si>
    <x:t>Photography Page</x:t>
  </x:si>
  <x:si>
    <x:t>Education Channel</x:t>
  </x:si>
  <x:si>
    <x:t>Reddit Subreddit</x:t>
  </x:si>
  <x:si>
    <x:t>Lifestyle Channel</x:t>
  </x:si>
  <x:si>
    <x:t>Mastodon Account</x:t>
  </x:si>
  <x:si>
    <x:t>SoundCloud Channel</x:t>
  </x:si>
  <x:si>
    <x:t>Influencer Account</x:t>
  </x:si>
  <x:si>
    <x:t>Unboxing Channel</x:t>
  </x:si>
  <x:si>
    <x:t>KakaoTalk Channel</x:t>
  </x:si>
  <x:si>
    <x:t>Investor Community</x:t>
  </x:si>
  <x:si>
    <x:t>X (Twitter) Account</x:t>
  </x:si>
  <x:si>
    <x:t>Instagram Account</x:t>
  </x:si>
  <x:si>
    <x:t>Startup Newsletter</x:t>
  </x:si>
  <x:si>
    <x:t>Squarespace Website</x:t>
  </x:si>
  <x:si>
    <x:t>Magazine Website</x:t>
  </x:si>
  <x:si>
    <x:t>Educational Website</x:t>
  </x:si>
  <x:si>
    <x:t>Medium Publication</x:t>
  </x:si>
  <x:si>
    <x:t>Marketplace Blog</x:t>
  </x:si>
  <x:si>
    <x:t>Messenger / Push</x:t>
  </x:si>
  <x:si>
    <x:t>WhatsApp Broadcast</x:t>
  </x:si>
  <x:si>
    <x:t>KakaoTalk CRM List</x:t>
  </x:si>
  <x:si>
    <x:t>Affiliate Website</x:t>
  </x:si>
  <x:si>
    <x:t>Line CRM Audience</x:t>
  </x:si>
  <x:si>
    <x:t>Comparison Website</x:t>
  </x:si>
  <x:si>
    <x:t>Deal Alert Channel</x:t>
  </x:si>
  <x:si>
    <x:t>Premium Newsletter</x:t>
  </x:si>
  <x:si>
    <x:t>Finance Newsletter</x:t>
  </x:si>
  <x:si>
    <x:t>Ecommerce Website</x:t>
  </x:si>
  <x:si>
    <x:t>SMS Marketing List</x:t>
  </x:si>
  <x:si>
    <x:t>Tutorial Channel</x:t>
  </x:si>
  <x:si>
    <x:t>Ghost Newsletter</x:t>
  </x:si>
  <x:si>
    <x:t>HubSpot Email List</x:t>
  </x:si>
  <x:si>
    <x:t>Media Newsletter</x:t>
  </x:si>
  <x:si>
    <x:t>Newsletter / Email</x:t>
  </x:si>
  <x:si>
    <x:t>Substack Newsletter</x:t>
  </x:si>
  <x:si>
    <x:t>Sendy Email List</x:t>
  </x:si>
  <x:si>
    <x:t>Klaviyo Email List</x:t>
  </x:si>
  <x:si>
    <x:t>WordPress Website</x:t>
  </x:si>
  <x:si>
    <x:t>Weekly Newsletter</x:t>
  </x:si>
  <x:si>
    <x:t>Authority Website</x:t>
  </x:si>
  <x:si>
    <x:t>Tutorial Website</x:t>
  </x:si>
  <x:si>
    <x:t>Beehiiv Newsletter</x:t>
  </x:si>
  <x:si>
    <x:t>Daily Newsletter</x:t>
  </x:si>
  <x:si>
    <x:t>Crypto Newsletter</x:t>
  </x:si>
  <x:si>
    <x:t>Review Directory</x:t>
  </x:si>
  <x:si>
    <x:t>Kakao Ads Account</x:t>
  </x:si>
  <x:si>
    <x:t>Naver Ads Account</x:t>
  </x:si>
  <x:si>
    <x:t>Affiliate Network</x:t>
  </x:si>
  <x:si>
    <x:t>Authority Domain</x:t>
  </x:si>
  <x:si>
    <x:t>Backlink Network</x:t>
  </x:si>
  <x:si>
    <x:t>Verification_Status</x:t>
  </x:si>
  <x:si>
    <x:t>Ad Exchange Account</x:t>
  </x:si>
  <x:si>
    <x:t>Job Listing Website</x:t>
  </x:si>
  <x:si>
    <x:t>Community Directory</x:t>
  </x:si>
  <x:si>
    <x:t>Display Ads Account</x:t>
  </x:si>
  <x:si>
    <x:t>TikTok Ads Account</x:t>
  </x:si>
  <x:si>
    <x:t>Lead Capture Funnel</x:t>
  </x:si>
  <x:si>
    <x:t>Conversion Funnel</x:t>
  </x:si>
  <x:si>
    <x:t>Ad Creative Library</x:t>
  </x:si>
  <x:si>
    <x:t>News Alert Channel</x:t>
  </x:si>
  <x:si>
    <x:t>Banner Ad Inventory</x:t>
  </x:si>
  <x:si>
    <x:t>Micro Niche Website</x:t>
  </x:si>
  <x:si>
    <x:t>Directory Website</x:t>
  </x:si>
  <x:si>
    <x:t>Startup Directory</x:t>
  </x:si>
  <x:si>
    <x:t>Marketing Funnel</x:t>
  </x:si>
  <x:si>
    <x:t>Data Audience List</x:t>
  </x:si>
  <x:si>
    <x:t>Paid Media Asset</x:t>
  </x:si>
  <x:si>
    <x:t>Google Ads Account</x:t>
  </x:si>
  <x:si>
    <x:t>Last_Contact_Date</x:t>
  </x:si>
  <x:si>
    <x:t>Marketing Push List</x:t>
  </x:si>
  <x:si>
    <x:t>Native Ads Network</x:t>
  </x:si>
  <x:si>
    <x:t>Ecommerce Funnel</x:t>
  </x:si>
  <x:si>
    <x:t>Telegram / Discord</x:t>
  </x:si>
  <x:si>
    <x:t>Comparison SEO Site</x:t>
  </x:si>
  <x:si>
    <x:t>Ownership Verified</x:t>
  </x:si>
  <x:si>
    <x:t>Product Directory</x:t>
  </x:si>
  <x:si>
    <x:t>Instagram / YouTube</x:t>
  </x:si>
  <x:si>
    <x:t>verified_ownership</x:t>
  </x:si>
  <x:si>
    <x:t>Last_Action_Date</x:t>
  </x:si>
  <x:si>
    <x:t>Target_Close_Date</x:t>
  </x:si>
  <x:si>
    <x:t>Creator Holdings</x:t>
  </x:si>
  <x:si>
    <x:t>Preferred_Assets</x:t>
  </x:si>
  <x:si>
    <x:t>Crypto / Community</x:t>
  </x:si>
  <x:si>
    <x:t>verification_window</x:t>
  </x:si>
  <x:si>
    <x:t>Evidence_Summary</x:t>
  </x:si>
  <x:si>
    <x:t>Needs onboarding</x:t>
  </x:si>
  <x:si>
    <x:t>Verification Orders</x:t>
  </x:si>
  <x:si>
    <x:t>Input / KPI Link</x:t>
  </x:si>
  <x:si>
    <x:t>Instagram / Website</x:t>
  </x:si>
  <x:si>
    <x:t>Task_Description</x:t>
  </x:si>
  <x:si>
    <x:t>Buyer activation</x:t>
  </x:si>
  <x:si>
    <x:t>Featured Revenue</x:t>
  </x:si>
  <x:si>
    <x:t>100000 scanned URLs</x:t>
  </x:si>
  <x:si>
    <x:t>Subscribers_Members</x:t>
  </x:si>
  <x:si>
    <x:t>Transaction Fee %</x:t>
  </x:si>
  <x:si>
    <x:t>Buyer Subscribers</x:t>
  </x:si>
  <x:si>
    <x:t>Seller acquisition</x:t>
  </x:si>
  <x:si>
    <x:t>Verification Team</x:t>
  </x:si>
  <x:si>
    <x:t>Current pipeline</x:t>
  </x:si>
  <x:si>
    <x:t>Msell KPI Dashboard</x:t>
  </x:si>
  <x:si>
    <x:t>Escrow Funded Deals</x:t>
  </x:si>
  <x:si>
    <x:t>Total Asking Value</x:t>
  </x:si>
  <x:si>
    <x:t>Policy Violation</x:t>
  </x:si>
  <x:si>
    <x:t>Verified Listings</x:t>
  </x:si>
  <x:si>
    <x:t>Total Asset Types</x:t>
  </x:si>
  <x:si>
    <x:t>Lead generation and outreach pipeline</x:t>
  </x:si>
  <x:si>
    <x:t>Escrow mandatory for deals &gt; threshold</x:t>
  </x:si>
  <x:si>
    <x:t>Restricted asset policy + manual review</x:t>
  </x:si>
  <x:si>
    <x:t>Editable assumptions used across revenue model and KPI dashboard</x:t>
  </x:si>
  <x:si>
    <x:t>Low</x:t>
  </x:si>
  <x:si>
    <x:t>URL</x:t>
  </x:si>
  <x:si>
    <x:t>new</x:t>
  </x:si>
  <x:si>
    <x:t>DM</x:t>
  </x:si>
  <x:si>
    <x:t>SEO</x:t>
  </x:si>
  <x:si>
    <x:t>All</x:t>
  </x:si>
  <x:si>
    <x:t>15</x:t>
  </x:si>
  <x:si>
    <x:t>GMV</x:t>
  </x:si>
  <x:si>
    <x:t>50</x:t>
  </x:si>
  <x:si>
    <x:t>20</x:t>
  </x:si>
  <x:si>
    <x:t>Avg Deal Value</x:t>
  </x:si>
  <x:si>
    <x:t>Asset_Catalog</x:t>
  </x:si>
  <x:si>
    <x:t>KPI_Dashboard</x:t>
  </x:si>
  <x:si>
    <x:t>Outreach_Leads</x:t>
  </x:si>
  <x:si>
    <x:t>Verification</x:t>
  </x:si>
  <x:si>
    <x:t>Revenue_Model</x:t>
  </x:si>
  <x:si>
    <x:t>Facebook Group</x:t>
  </x:si>
  <x:si>
    <x:t>Guilded Server</x:t>
  </x:si>
  <x:si>
    <x:t>Discord Server</x:t>
  </x:si>
  <x:si>
    <x:t>Vanilla Forum</x:t>
  </x:si>
  <x:si>
    <x:t>Slack Community</x:t>
  </x:si>
  <x:si>
    <x:t>Line OpenChat</x:t>
  </x:si>
  <x:si>
    <x:t>Discourse Forum</x:t>
  </x:si>
  <x:si>
    <x:t>Study Community</x:t>
  </x:si>
  <x:si>
    <x:t>Tribe Community</x:t>
  </x:si>
  <x:si>
    <x:t>Skool Community</x:t>
  </x:si>
  <x:si>
    <x:t>XenForo Forum</x:t>
  </x:si>
  <x:si>
    <x:t>NFT Community</x:t>
  </x:si>
  <x:si>
    <x:t>Telegram Group</x:t>
  </x:si>
  <x:si>
    <x:t>Hobby Community</x:t>
  </x:si>
  <x:si>
    <x:t>Apple Podcast</x:t>
  </x:si>
  <x:si>
    <x:t>Bluesky Account</x:t>
  </x:si>
  <x:si>
    <x:t>Tech Channel</x:t>
  </x:si>
  <x:si>
    <x:t>LinkedIn Page</x:t>
  </x:si>
  <x:si>
    <x:t>Gaming Channel</x:t>
  </x:si>
  <x:si>
    <x:t>Crypto Channel</x:t>
  </x:si>
  <x:si>
    <x:t>Travel Channel</x:t>
  </x:si>
  <x:si>
    <x:t>Spotify Podcast</x:t>
  </x:si>
  <x:si>
    <x:t>Fitness Channel</x:t>
  </x:si>
  <x:si>
    <x:t>Google Podcast</x:t>
  </x:si>
  <x:si>
    <x:t>News Channel</x:t>
  </x:si>
  <x:si>
    <x:t>Review Channel</x:t>
  </x:si>
  <x:si>
    <x:t>Music Channel</x:t>
  </x:si>
  <x:si>
    <x:t>Creator Network</x:t>
  </x:si>
  <x:si>
    <x:t>Mailchimp List</x:t>
  </x:si>
  <x:si>
    <x:t>Rumble Channel</x:t>
  </x:si>
  <x:si>
    <x:t>Podcast Network</x:t>
  </x:si>
  <x:si>
    <x:t>Weibo Account</x:t>
  </x:si>
  <x:si>
    <x:t>Food Channel</x:t>
  </x:si>
  <x:si>
    <x:t>Vimeo Channel</x:t>
  </x:si>
  <x:si>
    <x:t>Tech Newsletter</x:t>
  </x:si>
  <x:si>
    <x:t>Social Media</x:t>
  </x:si>
  <x:si>
    <x:t>AI Newsletter</x:t>
  </x:si>
  <x:si>
    <x:t>Finance Channel</x:t>
  </x:si>
  <x:si>
    <x:t>TikTok Account</x:t>
  </x:si>
  <x:si>
    <x:t>Douyin Account</x:t>
  </x:si>
  <x:si>
    <x:t>Lemon8 Account</x:t>
  </x:si>
  <x:si>
    <x:t>Facebook Page</x:t>
  </x:si>
  <x:si>
    <x:t>Threads Account</x:t>
  </x:si>
  <x:si>
    <x:t>Motivation Page</x:t>
  </x:si>
  <x:si>
    <x:t>YouTube Channel</x:t>
  </x:si>
  <x:si>
    <x:t>Twitch Channel</x:t>
  </x:si>
  <x:si>
    <x:t>Content Network</x:t>
  </x:si>
  <x:si>
    <x:t>Content SEO Hub</x:t>
  </x:si>
  <x:si>
    <x:t>Sales Funnel</x:t>
  </x:si>
  <x:si>
    <x:t>Lifestyle Blog</x:t>
  </x:si>
  <x:si>
    <x:t>Review SEO Site</x:t>
  </x:si>
  <x:si>
    <x:t>Startup Blog</x:t>
  </x:si>
  <x:si>
    <x:t>SaaS Directory</x:t>
  </x:si>
  <x:si>
    <x:t>Community Blog</x:t>
  </x:si>
  <x:si>
    <x:t>Website / Blog</x:t>
  </x:si>
  <x:si>
    <x:t>Tistory Blog</x:t>
  </x:si>
  <x:si>
    <x:t>Notion Website</x:t>
  </x:si>
  <x:si>
    <x:t>Blog Network</x:t>
  </x:si>
  <x:si>
    <x:t>Carrd Website</x:t>
  </x:si>
  <x:si>
    <x:t>Media Website</x:t>
  </x:si>
  <x:si>
    <x:t>Affiliate Blog</x:t>
  </x:si>
  <x:si>
    <x:t>Keyword Blog</x:t>
  </x:si>
  <x:si>
    <x:t>Coupon SEO Site</x:t>
  </x:si>
  <x:si>
    <x:t>Pop Ads Network</x:t>
  </x:si>
  <x:si>
    <x:t>Alert Channel</x:t>
  </x:si>
  <x:si>
    <x:t>Email Funnel</x:t>
  </x:si>
  <x:si>
    <x:t>Local SEO Site</x:t>
  </x:si>
  <x:si>
    <x:t>Webinar Funnel</x:t>
  </x:si>
  <x:si>
    <x:t>Review Website</x:t>
  </x:si>
  <x:si>
    <x:t>Shopify Store</x:t>
  </x:si>
  <x:si>
    <x:t>Webflow Website</x:t>
  </x:si>
  <x:si>
    <x:t>Content Portal</x:t>
  </x:si>
  <x:si>
    <x:t>SaaS Newsletter</x:t>
  </x:si>
  <x:si>
    <x:t>News Website</x:t>
  </x:si>
  <x:si>
    <x:t>Finance Blog</x:t>
  </x:si>
  <x:si>
    <x:t>Coupon Website</x:t>
  </x:si>
  <x:si>
    <x:t>Basic Verified</x:t>
  </x:si>
  <x:si>
    <x:t>Media Rollup Co</x:t>
  </x:si>
  <x:si>
    <x:t>Growth Studio</x:t>
  </x:si>
  <x:si>
    <x:t>Creator assets</x:t>
  </x:si>
  <x:si>
    <x:t>Community Ops</x:t>
  </x:si>
  <x:si>
    <x:t>Full Verified</x:t>
  </x:si>
  <x:si>
    <x:t>Budget_Range</x:t>
  </x:si>
  <x:si>
    <x:t>Growth Operator</x:t>
  </x:si>
  <x:si>
    <x:t>Monthly_Revenue</x:t>
  </x:si>
  <x:si>
    <x:t>Asking_Price</x:t>
  </x:si>
  <x:si>
    <x:t>Owner contacted</x:t>
  </x:si>
  <x:si>
    <x:t>Contact_Method</x:t>
  </x:si>
  <x:si>
    <x:t>Pipeline_Status</x:t>
  </x:si>
  <x:si>
    <x:t>Listing created</x:t>
  </x:si>
  <x:si>
    <x:t>Listing_Status</x:t>
  </x:si>
  <x:si>
    <x:t>verified_basic</x:t>
  </x:si>
  <x:si>
    <x:t>verified_full</x:t>
  </x:si>
  <x:si>
    <x:t>TechReview KR</x:t>
  </x:si>
  <x:si>
    <x:t>escrow_funded</x:t>
  </x:si>
  <x:si>
    <x:t>Verification_ID</x:t>
  </x:si>
  <x:si>
    <x:t>Checked_Date</x:t>
  </x:si>
  <x:si>
    <x:t>Agreed_Price</x:t>
  </x:si>
  <x:si>
    <x:t>offer_submitted</x:t>
  </x:si>
  <x:si>
    <x:t>Content_Title</x:t>
  </x:si>
  <x:si>
    <x:t>Platform escrow</x:t>
  </x:si>
  <x:si>
    <x:t>Escrow_Amount</x:t>
  </x:si>
  <x:si>
    <x:t>Publish_Date</x:t>
  </x:si>
  <x:si>
    <x:t>Escrow_Status</x:t>
  </x:si>
  <x:si>
    <x:t>Release_Date</x:t>
  </x:si>
  <x:si>
    <x:t>pending_release</x:t>
  </x:si>
  <x:si>
    <x:t>Completed Deals</x:t>
  </x:si>
  <x:si>
    <x:t>Formula / Input</x:t>
  </x:si>
  <x:si>
    <x:t>Supply growth</x:t>
  </x:si>
  <x:si>
    <x:t>2000 responses</x:t>
  </x:si>
  <x:si>
    <x:t>Active Listings</x:t>
  </x:si>
  <x:si>
    <x:t>Monthly Revenue</x:t>
  </x:si>
  <x:si>
    <x:t>Dispute Review</x:t>
  </x:si>
  <x:si>
    <x:t>Catalog depth</x:t>
  </x:si>
  <x:si>
    <x:t>Inventory value</x:t>
  </x:si>
  <x:si>
    <x:t>Listing Review</x:t>
  </x:si>
  <x:si>
    <x:t>Reference_ID</x:t>
  </x:si>
  <x:si>
    <x:t>Sold Listings</x:t>
  </x:si>
  <x:si>
    <x:t>Quality supply</x:t>
  </x:si>
  <x:si>
    <x:t>Model output</x:t>
  </x:si>
  <x:si>
    <x:t>Completed exits</x:t>
  </x:si>
  <x:si>
    <x:t>Trust metric</x:t>
  </x:si>
  <x:si>
    <x:t>Fake Metrics</x:t>
  </x:si>
  <x:si>
    <x:t>Account Reclaim</x:t>
  </x:si>
  <x:si>
    <x:t>Operational transfer tasks by deal and platform</x:t>
  </x:si>
  <x:si>
    <x:t>300 asset categories/types that Msell can list</x:t>
  </x:si>
  <x:si>
    <x:t>Internal queue / moderation / incident tracker</x:t>
  </x:si>
  <x:si>
    <x:t>Website / Newsletter</x:t>
  </x:si>
  <x:si>
    <x:t>Telegram views aligned</x:t>
  </x:si>
  <x:si>
    <x:t>Creator Investor Fund</x:t>
  </x:si>
  <x:si>
    <x:t>YouTube / Newsletter</x:t>
  </x:si>
  <x:si>
    <x:t>Buyer added as staff</x:t>
  </x:si>
  <x:si>
    <x:t>Deal Conversion Rate</x:t>
  </x:si>
  <x:si>
    <x:t>Manager rights verified</x:t>
  </x:si>
  <x:si>
    <x:t>https://t.me/example1</x:t>
  </x:si>
  <x:si>
    <x:t>Interested in valuation</x:t>
  </x:si>
  <x:si>
    <x:t>1000 drafted listings</x:t>
  </x:si>
  <x:si>
    <x:t>Check ownership proof</x:t>
  </x:si>
  <x:si>
    <x:t>Transaction Fee Revenue</x:t>
  </x:si>
  <x:si>
    <x:t>Verification Revenue</x:t>
  </x:si>
  <x:si>
    <x:t>Featured Listing Count</x:t>
  </x:si>
  <x:si>
    <x:t>Total Monthly Revenue</x:t>
  </x:si>
  <x:si>
    <x:t>Subscription Revenue</x:t>
  </x:si>
  <x:si>
    <x:t>Buyer requests refund</x:t>
  </x:si>
  <x:si>
    <x:t>DSP Advertising Account</x:t>
  </x:si>
  <x:si>
    <x:t>Product Launch Funnel</x:t>
  </x:si>
  <x:si>
    <x:t>Ad Landing Page Network</x:t>
  </x:si>
  <x:si>
    <x:t>Sponsored Post Network</x:t>
  </x:si>
  <x:si>
    <x:t>Media Partner Network</x:t>
  </x:si>
  <x:si>
    <x:t>Media Buying Account</x:t>
  </x:si>
  <x:si>
    <x:t>Ad Arbitrage Network</x:t>
  </x:si>
  <x:si>
    <x:t>Taboola Traffic Source</x:t>
  </x:si>
  <x:si>
    <x:t>Outbrain Traffic Source</x:t>
  </x:si>
  <x:si>
    <x:t>Growth Marketing Funnel</x:t>
  </x:si>
  <x:si>
    <x:t>Push Ads Traffic Source</x:t>
  </x:si>
  <x:si>
    <x:t>Paid Promotion Network</x:t>
  </x:si>
  <x:si>
    <x:t>Lookalike Audience Asset</x:t>
  </x:si>
  <x:si>
    <x:t>Retargeting Audience Pool</x:t>
  </x:si>
  <x:si>
    <x:t>Marketing Automation Funnel</x:t>
  </x:si>
  <x:si>
    <x:t>SSP Advertising Inventory</x:t>
  </x:si>
  <x:si>
    <x:t>Traffic Marketplace Account</x:t>
  </x:si>
  <x:si>
    <x:t>Native Content Distribution</x:t>
  </x:si>
  <x:si>
    <x:t>Brand Partnership Network</x:t>
  </x:si>
  <x:si>
    <x:t>Creator Sponsorship Network</x:t>
  </x:si>
  <x:si>
    <x:t>Digital Promotion Network</x:t>
  </x:si>
  <x:si>
    <x:t>Promotion Traffic Network</x:t>
  </x:si>
  <x:si>
    <x:t>https://discord.gg/example2</x:t>
  </x:si>
  <x:si>
    <x:t>Owner screenshot uploaded</x:t>
  </x:si>
  <x:si>
    <x:t>Manager role transferred</x:t>
  </x:si>
  <x:si>
    <x:t>Buyer confirmation pending</x:t>
  </x:si>
  <x:si>
    <x:t>Creator community outreach</x:t>
  </x:si>
  <x:si>
    <x:t>20000 qualified prospects</x:t>
  </x:si>
  <x:si>
    <x:t>False positive after review</x:t>
  </x:si>
  <x:si>
    <x:t>Need updated revenue proof</x:t>
  </x:si>
  <x:si>
    <x:t>Asset_ID</x:t>
  </x:si>
  <x:si>
    <x:t>Asset_Type</x:t>
  </x:si>
  <x:si>
    <x:t>Category</x:t>
  </x:si>
  <x:si>
    <x:t>Naver Cafe</x:t>
  </x:si>
  <x:si>
    <x:t>Required</x:t>
  </x:si>
  <x:si>
    <x:t>phpBB Forum</x:t>
  </x:si>
  <x:si>
    <x:t>Tumblr Blog</x:t>
  </x:si>
  <x:si>
    <x:t>Fan Page</x:t>
  </x:si>
  <x:si>
    <x:t>Meme Page</x:t>
  </x:si>
  <x:si>
    <x:t>Comedy Page</x:t>
  </x:si>
  <x:si>
    <x:t>Traffic Reselling Network</x:t>
  </x:si>
  <x:si>
    <x:t>Affiliate Traffic Network</x:t>
  </x:si>
  <x:si>
    <x:t>Sponsored Content Network</x:t>
  </x:si>
  <x:si>
    <x:t>Performance Marketing Asset</x:t>
  </x:si>
  <x:si>
    <x:t>Gaming Influencer Account</x:t>
  </x:si>
  <x:si>
    <x:t>Beauty Influencer Account</x:t>
  </x:si>
  <x:si>
    <x:t>Music Influencer Account</x:t>
  </x:si>
  <x:si>
    <x:t>Fitness Influencer Account</x:t>
  </x:si>
  <x:si>
    <x:t>Travel Influencer Account</x:t>
  </x:si>
  <x:si>
    <x:t>Finance Influencer Account</x:t>
  </x:si>
  <x:si>
    <x:t>ActiveCampaign Email List</x:t>
  </x:si>
  <x:si>
    <x:t>Paid Subscriber Newsletter</x:t>
  </x:si>
  <x:si>
    <x:t>Local Business Newsletter</x:t>
  </x:si>
  <x:si>
    <x:t>Niche Audience Newsletter</x:t>
  </x:si>
  <x:si>
    <x:t>Creator Economy Newsletter</x:t>
  </x:si>
  <x:si>
    <x:t>Growth Marketing Newsletter</x:t>
  </x:si>
  <x:si>
    <x:t>Telegram Bot Subscribers</x:t>
  </x:si>
  <x:si>
    <x:t>Coupon Broadcast Channel</x:t>
  </x:si>
  <x:si>
    <x:t>Mobile Marketing Audience</x:t>
  </x:si>
  <x:si>
    <x:t>WhatsApp Business Audience</x:t>
  </x:si>
  <x:si>
    <x:t>Event Notification Channel</x:t>
  </x:si>
  <x:si>
    <x:t>Product Launch Broadcast</x:t>
  </x:si>
  <x:si>
    <x:t>Programmatic SEO Website</x:t>
  </x:si>
  <x:si>
    <x:t>Expired Domain Traffic Site</x:t>
  </x:si>
  <x:si>
    <x:t>Local Business Directory</x:t>
  </x:si>
  <x:si>
    <x:t>Classified Listing Website</x:t>
  </x:si>
  <x:si>
    <x:t>Marketplace Listing Website</x:t>
  </x:si>
  <x:si>
    <x:t>Quotes Page</x:t>
  </x:si>
  <x:si>
    <x:t>DIY Channel</x:t>
  </x:si>
  <x:si>
    <x:t>Brunch Blog</x:t>
  </x:si>
  <x:si>
    <x:t>Naver Blog</x:t>
  </x:si>
  <x:si>
    <x:t>Wix Website</x:t>
  </x:si>
  <x:si>
    <x:t>SEO Blog</x:t>
  </x:si>
  <x:si>
    <x:t>Tech Blog</x:t>
  </x:si>
  <x:si>
    <x:t>Food Blog</x:t>
  </x:si>
  <x:si>
    <x:t>Crypto Blog</x:t>
  </x:si>
  <x:si>
    <x:t>Travel Blog</x:t>
  </x:si>
  <x:si>
    <x:t>Health Blog</x:t>
  </x:si>
  <x:si>
    <x:t>SEO Website</x:t>
  </x:si>
  <x:si>
    <x:t>Lead Funnel</x:t>
  </x:si>
  <x:si>
    <x:t>CPL Network</x:t>
  </x:si>
  <x:si>
    <x:t>CPA Network</x:t>
  </x:si>
  <x:si>
    <x:t>Seller_Name</x:t>
  </x:si>
  <x:si>
    <x:t>Risk_Level</x:t>
  </x:si>
  <x:si>
    <x:t>Seller_ID</x:t>
  </x:si>
  <x:si>
    <x:t>Alpha Media</x:t>
  </x:si>
  <x:si>
    <x:t>Cafe Labs</x:t>
  </x:si>
  <x:si>
    <x:t>2026-03-02</x:t>
  </x:si>
  <x:si>
    <x:t>2026-03-01</x:t>
  </x:si>
  <x:si>
    <x:t>pipeline</x:t>
  </x:si>
  <x:si>
    <x:t>2026-03-03</x:t>
  </x:si>
  <x:si>
    <x:t>2026-03-04</x:t>
  </x:si>
  <x:si>
    <x:t>2026-03-05</x:t>
  </x:si>
  <x:si>
    <x:t>Rejected</x:t>
  </x:si>
  <x:si>
    <x:t>Buyer_ID</x:t>
  </x:si>
  <x:si>
    <x:t>inactive</x:t>
  </x:si>
  <x:si>
    <x:t>Buyer_Name</x:t>
  </x:si>
  <x:si>
    <x:t>₩5M-₩30M</x:t>
  </x:si>
  <x:si>
    <x:t>Media / SEO</x:t>
  </x:si>
  <x:si>
    <x:t>₩30M-₩300M</x:t>
  </x:si>
  <x:si>
    <x:t>₩3M-₩20M</x:t>
  </x:si>
  <x:si>
    <x:t>Asset_Name</x:t>
  </x:si>
  <x:si>
    <x:t>Platform</x:t>
  </x:si>
  <x:si>
    <x:t>CryptoAlpha</x:t>
  </x:si>
  <x:si>
    <x:t>follow_up</x:t>
  </x:si>
  <x:si>
    <x:t>Telegram</x:t>
  </x:si>
  <x:si>
    <x:t>Gaming Hub</x:t>
  </x:si>
  <x:si>
    <x:t>qualified</x:t>
  </x:si>
  <x:si>
    <x:t>Growth Cafe</x:t>
  </x:si>
  <x:si>
    <x:t>closed_won</x:t>
  </x:si>
  <x:si>
    <x:t>Listing_ID</x:t>
  </x:si>
  <x:si>
    <x:t>Avg_Reach</x:t>
  </x:si>
  <x:si>
    <x:t>Business</x:t>
  </x:si>
  <x:si>
    <x:t>ownership</x:t>
  </x:si>
  <x:si>
    <x:t>Check_Type</x:t>
  </x:si>
  <x:si>
    <x:t>Checked_By</x:t>
  </x:si>
  <x:si>
    <x:t>Opened_Date</x:t>
  </x:si>
  <x:si>
    <x:t>Deal_Stage</x:t>
  </x:si>
  <x:si>
    <x:t>2026-03-08</x:t>
  </x:si>
  <x:si>
    <x:t>2026-03-10</x:t>
  </x:si>
  <x:si>
    <x:t>2026-03-12</x:t>
  </x:si>
  <x:si>
    <x:t>Task_Status</x:t>
  </x:si>
  <x:si>
    <x:t>Due_Date</x:t>
  </x:si>
  <x:si>
    <x:t>in_progress</x:t>
  </x:si>
  <x:si>
    <x:t>Escrow_ID</x:t>
  </x:si>
  <x:si>
    <x:t>Funded_Date</x:t>
  </x:si>
  <x:si>
    <x:t>Objective</x:t>
  </x:si>
  <x:si>
    <x:t>Source_Type</x:t>
  </x:si>
  <x:si>
    <x:t>Campaign_ID</x:t>
  </x:si>
  <x:si>
    <x:t>2026-03-09</x:t>
  </x:si>
  <x:si>
    <x:t>scheduled</x:t>
  </x:si>
  <x:si>
    <x:t>2026-03-07</x:t>
  </x:si>
  <x:si>
    <x:t>Asset_Group</x:t>
  </x:si>
  <x:si>
    <x:t>Partnership</x:t>
  </x:si>
  <x:si>
    <x:t>AI_Run_ID</x:t>
  </x:si>
  <x:si>
    <x:t>Asset Scan</x:t>
  </x:si>
  <x:si>
    <x:t>complete</x:t>
  </x:si>
  <x:si>
    <x:t>Run_Date</x:t>
  </x:si>
  <x:si>
    <x:t>Listing Gen</x:t>
  </x:si>
  <x:si>
    <x:t>Outreach</x:t>
  </x:si>
  <x:si>
    <x:t>Open Deals</x:t>
  </x:si>
  <x:si>
    <x:t>Ticket_ID</x:t>
  </x:si>
  <x:si>
    <x:t>Action_Note</x:t>
  </x:si>
  <x:si>
    <x:t>Priority</x:t>
  </x:si>
  <x:si>
    <x:t>Escalation</x:t>
  </x:si>
  <x:si>
    <x:t>Fraud Flag</x:t>
  </x:si>
  <x:si>
    <x:t>Ops Lead</x:t>
  </x:si>
  <x:si>
    <x:t>Mitigation</x:t>
  </x:si>
  <x:si>
    <x:t>Severity</x:t>
  </x:si>
  <x:si>
    <x:t>Risk_Type</x:t>
  </x:si>
  <x:si>
    <x:t>monitoring</x:t>
  </x:si>
  <x:si>
    <x:t>Seller</x:t>
  </x:si>
  <x:si>
    <x:t>Admin</x:t>
  </x:si>
  <x:si>
    <x:t>Supply</x:t>
  </x:si>
  <x:si>
    <x:t>Owner</x:t>
  </x:si>
  <x:si>
    <x:t>Fraud</x:t>
  </x:si>
  <x:si>
    <x:t>open</x:t>
  </x:si>
  <x:si>
    <x:t>Listing</x:t>
  </x:si>
  <x:si>
    <x:t>Target</x:t>
  </x:si>
  <x:si>
    <x:t>Queue</x:t>
  </x:si>
  <x:si>
    <x:t>high</x:t>
  </x:si>
  <x:si>
    <x:t>medium</x:t>
  </x:si>
  <x:si>
    <x:t>closed</x:t>
  </x:si>
  <x:si>
    <x:t>Travel</x:t>
  </x:si>
  <x:si>
    <x:t>draft</x:t>
  </x:si>
  <x:si>
    <x:t>Email</x:t>
  </x:si>
  <x:si>
    <x:t>YouTube</x:t>
  </x:si>
  <x:si>
    <x:t>Result</x:t>
  </x:si>
  <x:si>
    <x:t>Crypto</x:t>
  </x:si>
  <x:si>
    <x:t>pending</x:t>
  </x:si>
  <x:si>
    <x:t>pass</x:t>
  </x:si>
  <x:si>
    <x:t>Lead_ID</x:t>
  </x:si>
  <x:si>
    <x:t>Niche</x:t>
  </x:si>
  <x:si>
    <x:t>review</x:t>
  </x:si>
  <x:si>
    <x:t>Deal_ID</x:t>
  </x:si>
  <x:si>
    <x:t>Health</x:t>
  </x:si>
  <x:si>
    <x:t>planned</x:t>
  </x:si>
  <x:si>
    <x:t>Tech</x:t>
  </x:si>
  <x:si>
    <x:t>Task_ID</x:t>
  </x:si>
  <x:si>
    <x:t>Organic</x:t>
  </x:si>
  <x:si>
    <x:t>Ops 1</x:t>
  </x:si>
  <x:si>
    <x:t>Owned</x:t>
  </x:si>
  <x:si>
    <x:t>Gaming</x:t>
  </x:si>
  <x:si>
    <x:t>sold</x:t>
  </x:si>
  <x:si>
    <x:t>done</x:t>
  </x:si>
  <x:si>
    <x:t>green</x:t>
  </x:si>
  <x:si>
    <x:t>amber</x:t>
  </x:si>
  <x:si>
    <x:t>Stage</x:t>
  </x:si>
  <x:si>
    <x:t>Partner</x:t>
  </x:si>
  <x:si>
    <x:t>Output</x:t>
  </x:si>
  <x:si>
    <x:t>Ops 3</x:t>
  </x:si>
  <x:si>
    <x:t>Channel</x:t>
  </x:si>
  <x:si>
    <x:t>Scoring</x:t>
  </x:si>
  <x:si>
    <x:t>Ops 2</x:t>
  </x:si>
  <x:si>
    <x:t>revenue</x:t>
  </x:si>
  <x:si>
    <x:t>metrics</x:t>
  </x:si>
  <x:si>
    <x:t>funded</x:t>
  </x:si>
  <x:si>
    <x:t>Monthly</x:t>
  </x:si>
  <x:si>
    <x:t>Metric</x:t>
  </x:si>
  <x:si>
    <x:t>Formula</x:t>
  </x:si>
  <x:si>
    <x:t>Control</x:t>
  </x:si>
  <x:si>
    <x:t>Input</x:t>
  </x:si>
  <x:si>
    <x:t>Scope</x:t>
  </x:si>
  <x:si>
    <x:t>Risk_ID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</x:si>
</x:sst>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0.0%"/>
    <x:numFmt numFmtId="165" formatCode="&quot;₩&quot;#,##0;[Red]\(&quot;₩&quot;#,##0\);\-"/>
    <x:numFmt numFmtId="166" formatCode="#,##0;[Red]\(#,##0\);\-"/>
    <x:numFmt numFmtId="167" formatCode="yyyy\-mm\-dd"/>
  </x:numFmts>
  <x:fonts count="9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ffffff"/>
      <x:b val="1"/>
    </x:font>
    <x:font>
      <x:name val="Calibri"/>
      <x:sz val="11"/>
      <x:color rgb="ff0000ff"/>
    </x:font>
    <x:font>
      <x:name val="Calibri"/>
      <x:sz val="11"/>
      <x:color rgb="ff000000"/>
      <x:b val="1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d9e1f2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ffffff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0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Border="1" applyAlignment="1">
          <x:alignment horizontal="center" vertical="center"/>
        </x:xf>
      </mc:Fallback>
    </mc:AlternateContent>
    <x:xf numFmtId="164" fontId="7" fillId="3" borderId="0" xfId="1">
      <x:alignment horizontal="general" vertical="bottom"/>
    </x:xf>
    <x:xf numFmtId="165" fontId="7" fillId="3" borderId="0" xfId="1">
      <x:alignment horizontal="general" vertical="bottom"/>
    </x:xf>
    <x:xf numFmtId="166" fontId="7" fillId="3" borderId="0" xfId="1">
      <x:alignment horizontal="general" vertical="bottom"/>
    </x:xf>
    <x:xf numFmtId="167" fontId="0" fillId="0" borderId="0" xfId="1">
      <x:alignment horizontal="general" vertical="bottom"/>
    </x:xf>
    <x:xf numFmtId="166" fontId="0" fillId="0" borderId="0" xfId="1">
      <x:alignment horizontal="general" vertical="bottom"/>
    </x:xf>
    <x:xf numFmtId="165" fontId="0" fillId="0" borderId="0" xfId="1">
      <x:alignment horizontal="general" vertical="bottom"/>
    </x:xf>
    <x:xf numFmtId="0" fontId="0" fillId="4" borderId="0" xfId="1">
      <x:alignment horizontal="general" vertical="bottom"/>
    </x:xf>
    <x:xf numFmtId="166" fontId="0" fillId="0" borderId="0" xfId="1">
      <x:alignment horizontal="general" vertical="bottom"/>
    </x:xf>
    <x:xf numFmtId="0" fontId="0" fillId="5" borderId="0" xfId="1">
      <x:alignment horizontal="general" vertical="bottom"/>
    </x:xf>
    <x:xf numFmtId="164" fontId="0" fillId="0" borderId="0" xfId="1">
      <x:alignment horizontal="general" vertical="bottom"/>
    </x:xf>
    <x:xf numFmtId="165" fontId="0" fillId="0" borderId="0" xfId="1">
      <x:alignment horizontal="general" vertical="bottom"/>
    </x:xf>
    <x:xf numFmtId="0" fontId="8" fillId="0" borderId="0" xfId="1">
      <x:alignment horizontal="general" vertical="bottom"/>
    </x:xf>
    <x:xf numFmtId="165" fontId="8" fillId="6" borderId="0" xfId="1">
      <x:alignment horizontal="general" vertical="bottom"/>
    </x:xf>
    <x:xf numFmtId="166" fontId="8" fillId="7" borderId="0" xfId="1">
      <x:alignment horizontal="general" vertical="bottom"/>
    </x:xf>
    <x:xf numFmtId="165" fontId="8" fillId="7" borderId="0" xfId="1">
      <x:alignment horizontal="general" vertical="bottom"/>
    </x:xf>
    <x:xf numFmtId="0" fontId="6" fillId="2" borderId="0" xfId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x:xf numFmtId="165" fontId="0" fillId="0" borderId="0" xfId="1" applyAlignment="1">
      <x:alignment horizontal="left" vertical="bottom"/>
    </x:xf>
  </x:cellXfs>
  <x:cellStyles count="2">
    <x:cellStyle name="표준" xfId="0" builtinId="0" iLevel="0"/>
    <x:cellStyle name="Normal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9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28" customWidth="1"/>
    <x:col min="2" max="2" width="18" customWidth="1"/>
    <x:col min="3" max="3" width="34" customWidth="1"/>
  </x:cols>
  <x:sheetData>
    <x:row r="1" spans="1:3" ht="22" customHeight="1">
      <x:c r="A1" s="1" t="s">
        <x:v>74</x:v>
      </x:c>
      <x:c r="B1" s="1" t="s">
        <x:v>76</x:v>
      </x:c>
      <x:c r="C1" s="1" t="s">
        <x:v>75</x:v>
      </x:c>
    </x:row>
    <x:row r="2" spans="1:3">
      <x:c r="A2" t="s">
        <x:v>61</x:v>
      </x:c>
      <x:c r="B2" s="2">
        <x:v>0.070000000000000007</x:v>
      </x:c>
      <x:c r="C2" t="s">
        <x:v>62</x:v>
      </x:c>
    </x:row>
    <x:row r="3" spans="1:3">
      <x:c r="A3" t="s">
        <x:v>63</x:v>
      </x:c>
      <x:c r="B3" s="3">
        <x:v>150000</x:v>
      </x:c>
      <x:c r="C3" t="s">
        <x:v>89</x:v>
      </x:c>
    </x:row>
    <x:row r="4" spans="1:3">
      <x:c r="A4" t="s">
        <x:v>129</x:v>
      </x:c>
      <x:c r="B4" s="3">
        <x:v>200000</x:v>
      </x:c>
      <x:c r="C4" t="s">
        <x:v>22</x:v>
      </x:c>
    </x:row>
    <x:row r="5" spans="1:3">
      <x:c r="A5" t="s">
        <x:v>60</x:v>
      </x:c>
      <x:c r="B5" s="3">
        <x:v>100000</x:v>
      </x:c>
      <x:c r="C5" t="s">
        <x:v>125</x:v>
      </x:c>
    </x:row>
    <x:row r="6" spans="1:3">
      <x:c r="A6" t="s">
        <x:v>64</x:v>
      </x:c>
      <x:c r="B6" s="4">
        <x:v>1000</x:v>
      </x:c>
      <x:c r="C6" t="s">
        <x:v>131</x:v>
      </x:c>
    </x:row>
    <x:row r="7" spans="1:3">
      <x:c r="A7" t="s">
        <x:v>21</x:v>
      </x:c>
      <x:c r="B7" s="2">
        <x:v>0.029999999999999999</x:v>
      </x:c>
      <x:c r="C7" t="s">
        <x:v>65</x:v>
      </x:c>
    </x:row>
    <x:row r="8" spans="1:3">
      <x:c r="A8" t="s">
        <x:v>271</x:v>
      </x:c>
      <x:c r="B8" s="3">
        <x:v>5000000</x:v>
      </x:c>
      <x:c r="C8" t="s">
        <x:v>20</x:v>
      </x:c>
    </x:row>
    <x:row r="9" spans="1:3">
      <x:c r="A9" t="s">
        <x:v>23</x:v>
      </x:c>
      <x:c r="B9" s="4">
        <x:v>3</x:v>
      </x:c>
      <x:c r="C9" t="s">
        <x:v>98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7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24" customWidth="1"/>
    <x:col min="2" max="2" width="70" customWidth="1"/>
  </x:cols>
  <x:sheetData>
    <x:row r="1" spans="1:2" ht="22" customHeight="1">
      <x:c r="A1" s="1" t="s">
        <x:v>81</x:v>
      </x:c>
      <x:c r="B1" s="1" t="s">
        <x:v>79</x:v>
      </x:c>
    </x:row>
    <x:row r="2" spans="1:2">
      <x:c r="A2" t="s">
        <x:v>72</x:v>
      </x:c>
      <x:c r="B2" t="s">
        <x:v>260</x:v>
      </x:c>
    </x:row>
    <x:row r="3" spans="1:2">
      <x:c r="A3" t="s">
        <x:v>272</x:v>
      </x:c>
      <x:c r="B3" t="s">
        <x:v>402</x:v>
      </x:c>
    </x:row>
    <x:row r="4" spans="1:2">
      <x:c r="A4" t="s">
        <x:v>80</x:v>
      </x:c>
      <x:c r="B4" t="s">
        <x:v>99</x:v>
      </x:c>
    </x:row>
    <x:row r="5" spans="1:2">
      <x:c r="A5" t="s">
        <x:v>86</x:v>
      </x:c>
      <x:c r="B5" t="s">
        <x:v>100</x:v>
      </x:c>
    </x:row>
    <x:row r="6" spans="1:2">
      <x:c r="A6" t="s">
        <x:v>274</x:v>
      </x:c>
      <x:c r="B6" t="s">
        <x:v>257</x:v>
      </x:c>
    </x:row>
    <x:row r="7" spans="1:2">
      <x:c r="A7" t="s">
        <x:v>73</x:v>
      </x:c>
      <x:c r="B7" t="s">
        <x:v>101</x:v>
      </x:c>
    </x:row>
    <x:row r="8" spans="1:2">
      <x:c r="A8" t="s">
        <x:v>275</x:v>
      </x:c>
      <x:c r="B8" t="s">
        <x:v>126</x:v>
      </x:c>
    </x:row>
    <x:row r="9" spans="1:2">
      <x:c r="A9" t="s">
        <x:v>84</x:v>
      </x:c>
      <x:c r="B9" t="s">
        <x:v>90</x:v>
      </x:c>
    </x:row>
    <x:row r="10" spans="1:2">
      <x:c r="A10" t="s">
        <x:v>128</x:v>
      </x:c>
      <x:c r="B10" t="s">
        <x:v>401</x:v>
      </x:c>
    </x:row>
    <x:row r="11" spans="1:2">
      <x:c r="A11" t="s">
        <x:v>87</x:v>
      </x:c>
      <x:c r="B11" t="s">
        <x:v>68</x:v>
      </x:c>
    </x:row>
    <x:row r="12" spans="1:2">
      <x:c r="A12" t="s">
        <x:v>130</x:v>
      </x:c>
      <x:c r="B12" t="s">
        <x:v>24</x:v>
      </x:c>
    </x:row>
    <x:row r="13" spans="1:2">
      <x:c r="A13" t="s">
        <x:v>17</x:v>
      </x:c>
      <x:c r="B13" t="s">
        <x:v>119</x:v>
      </x:c>
    </x:row>
    <x:row r="14" spans="1:2">
      <x:c r="A14" t="s">
        <x:v>276</x:v>
      </x:c>
      <x:c r="B14" t="s">
        <x:v>123</x:v>
      </x:c>
    </x:row>
    <x:row r="15" spans="1:2">
      <x:c r="A15" t="s">
        <x:v>273</x:v>
      </x:c>
      <x:c r="B15" t="s">
        <x:v>121</x:v>
      </x:c>
    </x:row>
    <x:row r="16" spans="1:2">
      <x:c r="A16" t="s">
        <x:v>0</x:v>
      </x:c>
      <x:c r="B16" t="s">
        <x:v>18</x:v>
      </x:c>
    </x:row>
    <x:row r="17" spans="1:2">
      <x:c r="A17" t="s">
        <x:v>25</x:v>
      </x:c>
      <x:c r="B17" t="s">
        <x:v>403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301"/>
  <x:sheetViews>
    <x:sheetView showGridLines="0" topLeftCell="A230" zoomScaleNormal="75" zoomScaleSheetLayoutView="100" workbookViewId="0">
      <x:selection activeCell="J285" activeCellId="0" sqref="J285:J285"/>
    </x:sheetView>
  </x:sheetViews>
  <x:sheetFormatPr defaultColWidth="9.140625" defaultRowHeight="14.19999999999999928946"/>
  <x:cols>
    <x:col min="1" max="1" width="12" style="18" customWidth="1"/>
    <x:col min="2" max="2" width="22" customWidth="1"/>
    <x:col min="3" max="3" width="34" customWidth="1"/>
    <x:col min="4" max="4" width="12" customWidth="1"/>
    <x:col min="5" max="5" width="20" customWidth="1"/>
    <x:col min="6" max="6" width="18" customWidth="1"/>
  </x:cols>
  <x:sheetData>
    <x:row r="1" spans="1:6" ht="22" customHeight="1">
      <x:c r="A1" s="1" t="s">
        <x:v>451</x:v>
      </x:c>
      <x:c r="B1" s="1" t="s">
        <x:v>453</x:v>
      </x:c>
      <x:c r="C1" s="1" t="s">
        <x:v>452</x:v>
      </x:c>
      <x:c r="D1" s="1" t="s">
        <x:v>77</x:v>
      </x:c>
      <x:c r="E1" s="1" t="s">
        <x:v>71</x:v>
      </x:c>
      <x:c r="F1" s="1" t="s">
        <x:v>134</x:v>
      </x:c>
    </x:row>
    <x:row r="2" spans="1:6">
      <x:c r="A2" s="18">
        <x:v>1</x:v>
      </x:c>
      <x:c r="B2" t="s">
        <x:v>141</x:v>
      </x:c>
      <x:c r="C2" t="s">
        <x:v>279</x:v>
      </x:c>
      <x:c r="D2" t="s">
        <x:v>78</x:v>
      </x:c>
      <x:c r="E2" t="s">
        <x:v>455</x:v>
      </x:c>
      <x:c r="F2" t="s">
        <x:v>132</x:v>
      </x:c>
    </x:row>
    <x:row r="3" spans="1:6">
      <x:c r="A3" s="18">
        <x:v>2</x:v>
      </x:c>
      <x:c r="B3" t="s">
        <x:v>141</x:v>
      </x:c>
      <x:c r="C3" t="s">
        <x:v>150</x:v>
      </x:c>
      <x:c r="D3" t="s">
        <x:v>78</x:v>
      </x:c>
      <x:c r="E3" t="s">
        <x:v>455</x:v>
      </x:c>
      <x:c r="F3" t="s">
        <x:v>132</x:v>
      </x:c>
    </x:row>
    <x:row r="4" spans="1:6">
      <x:c r="A4" s="18">
        <x:v>3</x:v>
      </x:c>
      <x:c r="B4" t="s">
        <x:v>141</x:v>
      </x:c>
      <x:c r="C4" t="s">
        <x:v>289</x:v>
      </x:c>
      <x:c r="D4" t="s">
        <x:v>78</x:v>
      </x:c>
      <x:c r="E4" t="s">
        <x:v>455</x:v>
      </x:c>
      <x:c r="F4" t="s">
        <x:v>132</x:v>
      </x:c>
    </x:row>
    <x:row r="5" spans="1:6">
      <x:c r="A5" s="18">
        <x:v>4</x:v>
      </x:c>
      <x:c r="B5" t="s">
        <x:v>141</x:v>
      </x:c>
      <x:c r="C5" t="s">
        <x:v>454</x:v>
      </x:c>
      <x:c r="D5" t="s">
        <x:v>78</x:v>
      </x:c>
      <x:c r="E5" t="s">
        <x:v>455</x:v>
      </x:c>
      <x:c r="F5" t="s">
        <x:v>132</x:v>
      </x:c>
    </x:row>
    <x:row r="6" spans="1:6">
      <x:c r="A6" s="18">
        <x:v>5</x:v>
      </x:c>
      <x:c r="B6" t="s">
        <x:v>141</x:v>
      </x:c>
      <x:c r="C6" t="s">
        <x:v>133</x:v>
      </x:c>
      <x:c r="D6" t="s">
        <x:v>78</x:v>
      </x:c>
      <x:c r="E6" t="s">
        <x:v>455</x:v>
      </x:c>
      <x:c r="F6" t="s">
        <x:v>132</x:v>
      </x:c>
    </x:row>
    <x:row r="7" spans="1:6">
      <x:c r="A7" s="18">
        <x:v>6</x:v>
      </x:c>
      <x:c r="B7" t="s">
        <x:v>141</x:v>
      </x:c>
      <x:c r="C7" t="s">
        <x:v>160</x:v>
      </x:c>
      <x:c r="D7" t="s">
        <x:v>78</x:v>
      </x:c>
      <x:c r="E7" t="s">
        <x:v>455</x:v>
      </x:c>
      <x:c r="F7" t="s">
        <x:v>132</x:v>
      </x:c>
    </x:row>
    <x:row r="8" spans="1:6">
      <x:c r="A8" s="18">
        <x:v>7</x:v>
      </x:c>
      <x:c r="B8" t="s">
        <x:v>141</x:v>
      </x:c>
      <x:c r="C8" t="s">
        <x:v>277</x:v>
      </x:c>
      <x:c r="D8" t="s">
        <x:v>78</x:v>
      </x:c>
      <x:c r="E8" t="s">
        <x:v>455</x:v>
      </x:c>
      <x:c r="F8" t="s">
        <x:v>132</x:v>
      </x:c>
    </x:row>
    <x:row r="9" spans="1:6">
      <x:c r="A9" s="18">
        <x:v>8</x:v>
      </x:c>
      <x:c r="B9" t="s">
        <x:v>141</x:v>
      </x:c>
      <x:c r="C9" t="s">
        <x:v>154</x:v>
      </x:c>
      <x:c r="D9" t="s">
        <x:v>78</x:v>
      </x:c>
      <x:c r="E9" t="s">
        <x:v>455</x:v>
      </x:c>
      <x:c r="F9" t="s">
        <x:v>132</x:v>
      </x:c>
    </x:row>
    <x:row r="10" spans="1:6">
      <x:c r="A10" s="18">
        <x:v>9</x:v>
      </x:c>
      <x:c r="B10" t="s">
        <x:v>141</x:v>
      </x:c>
      <x:c r="C10" t="s">
        <x:v>281</x:v>
      </x:c>
      <x:c r="D10" t="s">
        <x:v>78</x:v>
      </x:c>
      <x:c r="E10" t="s">
        <x:v>455</x:v>
      </x:c>
      <x:c r="F10" t="s">
        <x:v>132</x:v>
      </x:c>
    </x:row>
    <x:row r="11" spans="1:6">
      <x:c r="A11" s="18">
        <x:v>10</x:v>
      </x:c>
      <x:c r="B11" t="s">
        <x:v>141</x:v>
      </x:c>
      <x:c r="C11" t="s">
        <x:v>278</x:v>
      </x:c>
      <x:c r="D11" t="s">
        <x:v>78</x:v>
      </x:c>
      <x:c r="E11" t="s">
        <x:v>455</x:v>
      </x:c>
      <x:c r="F11" t="s">
        <x:v>132</x:v>
      </x:c>
    </x:row>
    <x:row r="12" spans="1:6">
      <x:c r="A12" s="18">
        <x:v>11</x:v>
      </x:c>
      <x:c r="B12" t="s">
        <x:v>141</x:v>
      </x:c>
      <x:c r="C12" t="s">
        <x:v>282</x:v>
      </x:c>
      <x:c r="D12" t="s">
        <x:v>78</x:v>
      </x:c>
      <x:c r="E12" t="s">
        <x:v>455</x:v>
      </x:c>
      <x:c r="F12" t="s">
        <x:v>132</x:v>
      </x:c>
    </x:row>
    <x:row r="13" spans="1:6">
      <x:c r="A13" s="18">
        <x:v>12</x:v>
      </x:c>
      <x:c r="B13" t="s">
        <x:v>141</x:v>
      </x:c>
      <x:c r="C13" t="s">
        <x:v>135</x:v>
      </x:c>
      <x:c r="D13" t="s">
        <x:v>78</x:v>
      </x:c>
      <x:c r="E13" t="s">
        <x:v>455</x:v>
      </x:c>
      <x:c r="F13" t="s">
        <x:v>132</x:v>
      </x:c>
    </x:row>
    <x:row r="14" spans="1:6">
      <x:c r="A14" s="18">
        <x:v>13</x:v>
      </x:c>
      <x:c r="B14" t="s">
        <x:v>141</x:v>
      </x:c>
      <x:c r="C14" t="s">
        <x:v>283</x:v>
      </x:c>
      <x:c r="D14" t="s">
        <x:v>78</x:v>
      </x:c>
      <x:c r="E14" t="s">
        <x:v>455</x:v>
      </x:c>
      <x:c r="F14" t="s">
        <x:v>132</x:v>
      </x:c>
    </x:row>
    <x:row r="15" spans="1:6">
      <x:c r="A15" s="18">
        <x:v>14</x:v>
      </x:c>
      <x:c r="B15" t="s">
        <x:v>141</x:v>
      </x:c>
      <x:c r="C15" t="s">
        <x:v>136</x:v>
      </x:c>
      <x:c r="D15" t="s">
        <x:v>78</x:v>
      </x:c>
      <x:c r="E15" t="s">
        <x:v>455</x:v>
      </x:c>
      <x:c r="F15" t="s">
        <x:v>132</x:v>
      </x:c>
    </x:row>
    <x:row r="16" spans="1:6">
      <x:c r="A16" s="18">
        <x:v>15</x:v>
      </x:c>
      <x:c r="B16" t="s">
        <x:v>141</x:v>
      </x:c>
      <x:c r="C16" t="s">
        <x:v>285</x:v>
      </x:c>
      <x:c r="D16" t="s">
        <x:v>78</x:v>
      </x:c>
      <x:c r="E16" t="s">
        <x:v>455</x:v>
      </x:c>
      <x:c r="F16" t="s">
        <x:v>132</x:v>
      </x:c>
    </x:row>
    <x:row r="17" spans="1:6">
      <x:c r="A17" s="18">
        <x:v>16</x:v>
      </x:c>
      <x:c r="B17" t="s">
        <x:v>141</x:v>
      </x:c>
      <x:c r="C17" t="s">
        <x:v>19</x:v>
      </x:c>
      <x:c r="D17" t="s">
        <x:v>78</x:v>
      </x:c>
      <x:c r="E17" t="s">
        <x:v>455</x:v>
      </x:c>
      <x:c r="F17" t="s">
        <x:v>132</x:v>
      </x:c>
    </x:row>
    <x:row r="18" spans="1:6">
      <x:c r="A18" s="18">
        <x:v>17</x:v>
      </x:c>
      <x:c r="B18" t="s">
        <x:v>141</x:v>
      </x:c>
      <x:c r="C18" t="s">
        <x:v>286</x:v>
      </x:c>
      <x:c r="D18" t="s">
        <x:v>78</x:v>
      </x:c>
      <x:c r="E18" t="s">
        <x:v>455</x:v>
      </x:c>
      <x:c r="F18" t="s">
        <x:v>132</x:v>
      </x:c>
    </x:row>
    <x:row r="19" spans="1:6">
      <x:c r="A19" s="18">
        <x:v>18</x:v>
      </x:c>
      <x:c r="B19" t="s">
        <x:v>141</x:v>
      </x:c>
      <x:c r="C19" t="s">
        <x:v>280</x:v>
      </x:c>
      <x:c r="D19" t="s">
        <x:v>78</x:v>
      </x:c>
      <x:c r="E19" t="s">
        <x:v>455</x:v>
      </x:c>
      <x:c r="F19" t="s">
        <x:v>132</x:v>
      </x:c>
    </x:row>
    <x:row r="20" spans="1:6">
      <x:c r="A20" s="18">
        <x:v>19</x:v>
      </x:c>
      <x:c r="B20" t="s">
        <x:v>141</x:v>
      </x:c>
      <x:c r="C20" t="s">
        <x:v>287</x:v>
      </x:c>
      <x:c r="D20" t="s">
        <x:v>78</x:v>
      </x:c>
      <x:c r="E20" t="s">
        <x:v>455</x:v>
      </x:c>
      <x:c r="F20" t="s">
        <x:v>132</x:v>
      </x:c>
    </x:row>
    <x:row r="21" spans="1:6">
      <x:c r="A21" s="18">
        <x:v>20</x:v>
      </x:c>
      <x:c r="B21" t="s">
        <x:v>141</x:v>
      </x:c>
      <x:c r="C21" t="s">
        <x:v>456</x:v>
      </x:c>
      <x:c r="D21" t="s">
        <x:v>78</x:v>
      </x:c>
      <x:c r="E21" t="s">
        <x:v>455</x:v>
      </x:c>
      <x:c r="F21" t="s">
        <x:v>132</x:v>
      </x:c>
    </x:row>
    <x:row r="22" spans="1:6">
      <x:c r="A22" s="18">
        <x:v>21</x:v>
      </x:c>
      <x:c r="B22" t="s">
        <x:v>141</x:v>
      </x:c>
      <x:c r="C22" t="s">
        <x:v>31</x:v>
      </x:c>
      <x:c r="D22" t="s">
        <x:v>78</x:v>
      </x:c>
      <x:c r="E22" t="s">
        <x:v>455</x:v>
      </x:c>
      <x:c r="F22" t="s">
        <x:v>132</x:v>
      </x:c>
    </x:row>
    <x:row r="23" spans="1:6">
      <x:c r="A23" s="18">
        <x:v>22</x:v>
      </x:c>
      <x:c r="B23" t="s">
        <x:v>141</x:v>
      </x:c>
      <x:c r="C23" t="s">
        <x:v>137</x:v>
      </x:c>
      <x:c r="D23" t="s">
        <x:v>78</x:v>
      </x:c>
      <x:c r="E23" t="s">
        <x:v>455</x:v>
      </x:c>
      <x:c r="F23" t="s">
        <x:v>132</x:v>
      </x:c>
    </x:row>
    <x:row r="24" spans="1:6">
      <x:c r="A24" s="18">
        <x:v>23</x:v>
      </x:c>
      <x:c r="B24" t="s">
        <x:v>141</x:v>
      </x:c>
      <x:c r="C24" t="s">
        <x:v>288</x:v>
      </x:c>
      <x:c r="D24" t="s">
        <x:v>78</x:v>
      </x:c>
      <x:c r="E24" t="s">
        <x:v>455</x:v>
      </x:c>
      <x:c r="F24" t="s">
        <x:v>132</x:v>
      </x:c>
    </x:row>
    <x:row r="25" spans="1:6">
      <x:c r="A25" s="18">
        <x:v>24</x:v>
      </x:c>
      <x:c r="B25" t="s">
        <x:v>141</x:v>
      </x:c>
      <x:c r="C25" t="s">
        <x:v>42</x:v>
      </x:c>
      <x:c r="D25" t="s">
        <x:v>78</x:v>
      </x:c>
      <x:c r="E25" t="s">
        <x:v>455</x:v>
      </x:c>
      <x:c r="F25" t="s">
        <x:v>132</x:v>
      </x:c>
    </x:row>
    <x:row r="26" spans="1:6">
      <x:c r="A26" s="18">
        <x:v>25</x:v>
      </x:c>
      <x:c r="B26" t="s">
        <x:v>141</x:v>
      </x:c>
      <x:c r="C26" t="s">
        <x:v>36</x:v>
      </x:c>
      <x:c r="D26" t="s">
        <x:v>78</x:v>
      </x:c>
      <x:c r="E26" t="s">
        <x:v>455</x:v>
      </x:c>
      <x:c r="F26" t="s">
        <x:v>132</x:v>
      </x:c>
    </x:row>
    <x:row r="27" spans="1:6">
      <x:c r="A27" s="18">
        <x:v>26</x:v>
      </x:c>
      <x:c r="B27" t="s">
        <x:v>141</x:v>
      </x:c>
      <x:c r="C27" t="s">
        <x:v>37</x:v>
      </x:c>
      <x:c r="D27" t="s">
        <x:v>78</x:v>
      </x:c>
      <x:c r="E27" t="s">
        <x:v>455</x:v>
      </x:c>
      <x:c r="F27" t="s">
        <x:v>132</x:v>
      </x:c>
    </x:row>
    <x:row r="28" spans="1:6">
      <x:c r="A28" s="18">
        <x:v>27</x:v>
      </x:c>
      <x:c r="B28" t="s">
        <x:v>141</x:v>
      </x:c>
      <x:c r="C28" t="s">
        <x:v>161</x:v>
      </x:c>
      <x:c r="D28" t="s">
        <x:v>78</x:v>
      </x:c>
      <x:c r="E28" t="s">
        <x:v>455</x:v>
      </x:c>
      <x:c r="F28" t="s">
        <x:v>132</x:v>
      </x:c>
    </x:row>
    <x:row r="29" spans="1:6">
      <x:c r="A29" s="18">
        <x:v>28</x:v>
      </x:c>
      <x:c r="B29" t="s">
        <x:v>141</x:v>
      </x:c>
      <x:c r="C29" t="s">
        <x:v>284</x:v>
      </x:c>
      <x:c r="D29" t="s">
        <x:v>78</x:v>
      </x:c>
      <x:c r="E29" t="s">
        <x:v>455</x:v>
      </x:c>
      <x:c r="F29" t="s">
        <x:v>132</x:v>
      </x:c>
    </x:row>
    <x:row r="30" spans="1:6">
      <x:c r="A30" s="18">
        <x:v>29</x:v>
      </x:c>
      <x:c r="B30" t="s">
        <x:v>141</x:v>
      </x:c>
      <x:c r="C30" t="s">
        <x:v>144</x:v>
      </x:c>
      <x:c r="D30" t="s">
        <x:v>78</x:v>
      </x:c>
      <x:c r="E30" t="s">
        <x:v>455</x:v>
      </x:c>
      <x:c r="F30" t="s">
        <x:v>132</x:v>
      </x:c>
    </x:row>
    <x:row r="31" spans="1:6">
      <x:c r="A31" s="18">
        <x:v>30</x:v>
      </x:c>
      <x:c r="B31" t="s">
        <x:v>141</x:v>
      </x:c>
      <x:c r="C31" t="s">
        <x:v>290</x:v>
      </x:c>
      <x:c r="D31" t="s">
        <x:v>78</x:v>
      </x:c>
      <x:c r="E31" t="s">
        <x:v>455</x:v>
      </x:c>
      <x:c r="F31" t="s">
        <x:v>132</x:v>
      </x:c>
    </x:row>
    <x:row r="32" spans="1:6">
      <x:c r="A32" s="18">
        <x:v>1</x:v>
      </x:c>
      <x:c r="B32" t="s">
        <x:v>312</x:v>
      </x:c>
      <x:c r="C32" t="s">
        <x:v>163</x:v>
      </x:c>
      <x:c r="D32" t="s">
        <x:v>78</x:v>
      </x:c>
      <x:c r="E32" t="s">
        <x:v>455</x:v>
      </x:c>
      <x:c r="F32" t="s">
        <x:v>132</x:v>
      </x:c>
    </x:row>
    <x:row r="33" spans="1:6">
      <x:c r="A33" s="18">
        <x:v>2</x:v>
      </x:c>
      <x:c r="B33" t="s">
        <x:v>312</x:v>
      </x:c>
      <x:c r="C33" t="s">
        <x:v>318</x:v>
      </x:c>
      <x:c r="D33" t="s">
        <x:v>78</x:v>
      </x:c>
      <x:c r="E33" t="s">
        <x:v>455</x:v>
      </x:c>
      <x:c r="F33" t="s">
        <x:v>132</x:v>
      </x:c>
    </x:row>
    <x:row r="34" spans="1:6">
      <x:c r="A34" s="18">
        <x:v>3</x:v>
      </x:c>
      <x:c r="B34" t="s">
        <x:v>312</x:v>
      </x:c>
      <x:c r="C34" t="s">
        <x:v>162</x:v>
      </x:c>
      <x:c r="D34" t="s">
        <x:v>78</x:v>
      </x:c>
      <x:c r="E34" t="s">
        <x:v>455</x:v>
      </x:c>
      <x:c r="F34" t="s">
        <x:v>132</x:v>
      </x:c>
    </x:row>
    <x:row r="35" spans="1:6">
      <x:c r="A35" s="18">
        <x:v>4</x:v>
      </x:c>
      <x:c r="B35" t="s">
        <x:v>312</x:v>
      </x:c>
      <x:c r="C35" t="s">
        <x:v>315</x:v>
      </x:c>
      <x:c r="D35" t="s">
        <x:v>78</x:v>
      </x:c>
      <x:c r="E35" t="s">
        <x:v>455</x:v>
      </x:c>
      <x:c r="F35" t="s">
        <x:v>132</x:v>
      </x:c>
    </x:row>
    <x:row r="36" spans="1:6">
      <x:c r="A36" s="18">
        <x:v>5</x:v>
      </x:c>
      <x:c r="B36" t="s">
        <x:v>312</x:v>
      </x:c>
      <x:c r="C36" t="s">
        <x:v>319</x:v>
      </x:c>
      <x:c r="D36" t="s">
        <x:v>78</x:v>
      </x:c>
      <x:c r="E36" t="s">
        <x:v>455</x:v>
      </x:c>
      <x:c r="F36" t="s">
        <x:v>132</x:v>
      </x:c>
    </x:row>
    <x:row r="37" spans="1:6">
      <x:c r="A37" s="18">
        <x:v>6</x:v>
      </x:c>
      <x:c r="B37" t="s">
        <x:v>312</x:v>
      </x:c>
      <x:c r="C37" t="s">
        <x:v>138</x:v>
      </x:c>
      <x:c r="D37" t="s">
        <x:v>78</x:v>
      </x:c>
      <x:c r="E37" t="s">
        <x:v>455</x:v>
      </x:c>
      <x:c r="F37" t="s">
        <x:v>132</x:v>
      </x:c>
    </x:row>
    <x:row r="38" spans="1:6">
      <x:c r="A38" s="18">
        <x:v>7</x:v>
      </x:c>
      <x:c r="B38" t="s">
        <x:v>312</x:v>
      </x:c>
      <x:c r="C38" t="s">
        <x:v>294</x:v>
      </x:c>
      <x:c r="D38" t="s">
        <x:v>78</x:v>
      </x:c>
      <x:c r="E38" t="s">
        <x:v>455</x:v>
      </x:c>
      <x:c r="F38" t="s">
        <x:v>132</x:v>
      </x:c>
    </x:row>
    <x:row r="39" spans="1:6">
      <x:c r="A39" s="18">
        <x:v>8</x:v>
      </x:c>
      <x:c r="B39" t="s">
        <x:v>312</x:v>
      </x:c>
      <x:c r="C39" t="s">
        <x:v>149</x:v>
      </x:c>
      <x:c r="D39" t="s">
        <x:v>78</x:v>
      </x:c>
      <x:c r="E39" t="s">
        <x:v>455</x:v>
      </x:c>
      <x:c r="F39" t="s">
        <x:v>132</x:v>
      </x:c>
    </x:row>
    <x:row r="40" spans="1:6">
      <x:c r="A40" s="18">
        <x:v>9</x:v>
      </x:c>
      <x:c r="B40" t="s">
        <x:v>312</x:v>
      </x:c>
      <x:c r="C40" t="s">
        <x:v>151</x:v>
      </x:c>
      <x:c r="D40" t="s">
        <x:v>78</x:v>
      </x:c>
      <x:c r="E40" t="s">
        <x:v>455</x:v>
      </x:c>
      <x:c r="F40" t="s">
        <x:v>132</x:v>
      </x:c>
    </x:row>
    <x:row r="41" spans="1:6">
      <x:c r="A41" s="18">
        <x:v>10</x:v>
      </x:c>
      <x:c r="B41" t="s">
        <x:v>312</x:v>
      </x:c>
      <x:c r="C41" t="s">
        <x:v>457</x:v>
      </x:c>
      <x:c r="D41" t="s">
        <x:v>78</x:v>
      </x:c>
      <x:c r="E41" t="s">
        <x:v>455</x:v>
      </x:c>
      <x:c r="F41" t="s">
        <x:v>132</x:v>
      </x:c>
    </x:row>
    <x:row r="42" spans="1:6">
      <x:c r="A42" s="18">
        <x:v>11</x:v>
      </x:c>
      <x:c r="B42" t="s">
        <x:v>312</x:v>
      </x:c>
      <x:c r="C42" t="s">
        <x:v>156</x:v>
      </x:c>
      <x:c r="D42" t="s">
        <x:v>78</x:v>
      </x:c>
      <x:c r="E42" t="s">
        <x:v>455</x:v>
      </x:c>
      <x:c r="F42" t="s">
        <x:v>132</x:v>
      </x:c>
    </x:row>
    <x:row r="43" spans="1:6">
      <x:c r="A43" s="18">
        <x:v>12</x:v>
      </x:c>
      <x:c r="B43" t="s">
        <x:v>312</x:v>
      </x:c>
      <x:c r="C43" t="s">
        <x:v>292</x:v>
      </x:c>
      <x:c r="D43" t="s">
        <x:v>78</x:v>
      </x:c>
      <x:c r="E43" t="s">
        <x:v>455</x:v>
      </x:c>
      <x:c r="F43" t="s">
        <x:v>132</x:v>
      </x:c>
    </x:row>
    <x:row r="44" spans="1:6">
      <x:c r="A44" s="18">
        <x:v>13</x:v>
      </x:c>
      <x:c r="B44" t="s">
        <x:v>312</x:v>
      </x:c>
      <x:c r="C44" t="s">
        <x:v>308</x:v>
      </x:c>
      <x:c r="D44" t="s">
        <x:v>78</x:v>
      </x:c>
      <x:c r="E44" t="s">
        <x:v>455</x:v>
      </x:c>
      <x:c r="F44" t="s">
        <x:v>132</x:v>
      </x:c>
    </x:row>
    <x:row r="45" spans="1:6">
      <x:c r="A45" s="18">
        <x:v>14</x:v>
      </x:c>
      <x:c r="B45" t="s">
        <x:v>312</x:v>
      </x:c>
      <x:c r="C45" t="s">
        <x:v>15</x:v>
      </x:c>
      <x:c r="D45" t="s">
        <x:v>78</x:v>
      </x:c>
      <x:c r="E45" t="s">
        <x:v>455</x:v>
      </x:c>
      <x:c r="F45" t="s">
        <x:v>132</x:v>
      </x:c>
    </x:row>
    <x:row r="46" spans="1:6">
      <x:c r="A46" s="18">
        <x:v>15</x:v>
      </x:c>
      <x:c r="B46" t="s">
        <x:v>312</x:v>
      </x:c>
      <x:c r="C46" t="s">
        <x:v>316</x:v>
      </x:c>
      <x:c r="D46" t="s">
        <x:v>78</x:v>
      </x:c>
      <x:c r="E46" t="s">
        <x:v>455</x:v>
      </x:c>
      <x:c r="F46" t="s">
        <x:v>132</x:v>
      </x:c>
    </x:row>
    <x:row r="47" spans="1:6">
      <x:c r="A47" s="18">
        <x:v>16</x:v>
      </x:c>
      <x:c r="B47" t="s">
        <x:v>312</x:v>
      </x:c>
      <x:c r="C47" t="s">
        <x:v>147</x:v>
      </x:c>
      <x:c r="D47" t="s">
        <x:v>78</x:v>
      </x:c>
      <x:c r="E47" t="s">
        <x:v>455</x:v>
      </x:c>
      <x:c r="F47" t="s">
        <x:v>132</x:v>
      </x:c>
    </x:row>
    <x:row r="48" spans="1:6">
      <x:c r="A48" s="18">
        <x:v>17</x:v>
      </x:c>
      <x:c r="B48" t="s">
        <x:v>312</x:v>
      </x:c>
      <x:c r="C48" t="s">
        <x:v>317</x:v>
      </x:c>
      <x:c r="D48" t="s">
        <x:v>78</x:v>
      </x:c>
      <x:c r="E48" t="s">
        <x:v>455</x:v>
      </x:c>
      <x:c r="F48" t="s">
        <x:v>132</x:v>
      </x:c>
    </x:row>
    <x:row r="49" spans="1:6">
      <x:c r="A49" s="18">
        <x:v>18</x:v>
      </x:c>
      <x:c r="B49" t="s">
        <x:v>312</x:v>
      </x:c>
      <x:c r="C49" t="s">
        <x:v>40</x:v>
      </x:c>
      <x:c r="D49" t="s">
        <x:v>78</x:v>
      </x:c>
      <x:c r="E49" t="s">
        <x:v>455</x:v>
      </x:c>
      <x:c r="F49" t="s">
        <x:v>132</x:v>
      </x:c>
    </x:row>
    <x:row r="50" spans="1:6">
      <x:c r="A50" s="18">
        <x:v>19</x:v>
      </x:c>
      <x:c r="B50" t="s">
        <x:v>312</x:v>
      </x:c>
      <x:c r="C50" t="s">
        <x:v>158</x:v>
      </x:c>
      <x:c r="D50" t="s">
        <x:v>78</x:v>
      </x:c>
      <x:c r="E50" t="s">
        <x:v>455</x:v>
      </x:c>
      <x:c r="F50" t="s">
        <x:v>132</x:v>
      </x:c>
    </x:row>
    <x:row r="51" spans="1:6">
      <x:c r="A51" s="18">
        <x:v>20</x:v>
      </x:c>
      <x:c r="B51" t="s">
        <x:v>312</x:v>
      </x:c>
      <x:c r="C51" t="s">
        <x:v>26</x:v>
      </x:c>
      <x:c r="D51" t="s">
        <x:v>78</x:v>
      </x:c>
      <x:c r="E51" t="s">
        <x:v>455</x:v>
      </x:c>
      <x:c r="F51" t="s">
        <x:v>132</x:v>
      </x:c>
    </x:row>
    <x:row r="52" spans="1:6">
      <x:c r="A52" s="18">
        <x:v>21</x:v>
      </x:c>
      <x:c r="B52" t="s">
        <x:v>312</x:v>
      </x:c>
      <x:c r="C52" t="s">
        <x:v>458</x:v>
      </x:c>
      <x:c r="D52" t="s">
        <x:v>78</x:v>
      </x:c>
      <x:c r="E52" t="s">
        <x:v>455</x:v>
      </x:c>
      <x:c r="F52" t="s">
        <x:v>132</x:v>
      </x:c>
    </x:row>
    <x:row r="53" spans="1:6">
      <x:c r="A53" s="18">
        <x:v>22</x:v>
      </x:c>
      <x:c r="B53" t="s">
        <x:v>312</x:v>
      </x:c>
      <x:c r="C53" t="s">
        <x:v>459</x:v>
      </x:c>
      <x:c r="D53" t="s">
        <x:v>78</x:v>
      </x:c>
      <x:c r="E53" t="s">
        <x:v>455</x:v>
      </x:c>
      <x:c r="F53" t="s">
        <x:v>132</x:v>
      </x:c>
    </x:row>
    <x:row r="54" spans="1:6">
      <x:c r="A54" s="18">
        <x:v>23</x:v>
      </x:c>
      <x:c r="B54" t="s">
        <x:v>312</x:v>
      </x:c>
      <x:c r="C54" t="s">
        <x:v>28</x:v>
      </x:c>
      <x:c r="D54" t="s">
        <x:v>78</x:v>
      </x:c>
      <x:c r="E54" t="s">
        <x:v>455</x:v>
      </x:c>
      <x:c r="F54" t="s">
        <x:v>132</x:v>
      </x:c>
    </x:row>
    <x:row r="55" spans="1:6">
      <x:c r="A55" s="18">
        <x:v>24</x:v>
      </x:c>
      <x:c r="B55" t="s">
        <x:v>312</x:v>
      </x:c>
      <x:c r="C55" t="s">
        <x:v>102</x:v>
      </x:c>
      <x:c r="D55" t="s">
        <x:v>78</x:v>
      </x:c>
      <x:c r="E55" t="s">
        <x:v>455</x:v>
      </x:c>
      <x:c r="F55" t="s">
        <x:v>132</x:v>
      </x:c>
    </x:row>
    <x:row r="56" spans="1:6">
      <x:c r="A56" s="18">
        <x:v>25</x:v>
      </x:c>
      <x:c r="B56" t="s">
        <x:v>312</x:v>
      </x:c>
      <x:c r="C56" t="s">
        <x:v>469</x:v>
      </x:c>
      <x:c r="D56" t="s">
        <x:v>78</x:v>
      </x:c>
      <x:c r="E56" t="s">
        <x:v>455</x:v>
      </x:c>
      <x:c r="F56" t="s">
        <x:v>132</x:v>
      </x:c>
    </x:row>
    <x:row r="57" spans="1:6">
      <x:c r="A57" s="18">
        <x:v>26</x:v>
      </x:c>
      <x:c r="B57" t="s">
        <x:v>312</x:v>
      </x:c>
      <x:c r="C57" t="s">
        <x:v>41</x:v>
      </x:c>
      <x:c r="D57" t="s">
        <x:v>78</x:v>
      </x:c>
      <x:c r="E57" t="s">
        <x:v>455</x:v>
      </x:c>
      <x:c r="F57" t="s">
        <x:v>132</x:v>
      </x:c>
    </x:row>
    <x:row r="58" spans="1:6">
      <x:c r="A58" s="18">
        <x:v>27</x:v>
      </x:c>
      <x:c r="B58" t="s">
        <x:v>312</x:v>
      </x:c>
      <x:c r="C58" t="s">
        <x:v>468</x:v>
      </x:c>
      <x:c r="D58" t="s">
        <x:v>78</x:v>
      </x:c>
      <x:c r="E58" t="s">
        <x:v>455</x:v>
      </x:c>
      <x:c r="F58" t="s">
        <x:v>132</x:v>
      </x:c>
    </x:row>
    <x:row r="59" spans="1:6">
      <x:c r="A59" s="18">
        <x:v>28</x:v>
      </x:c>
      <x:c r="B59" t="s">
        <x:v>312</x:v>
      </x:c>
      <x:c r="C59" t="s">
        <x:v>466</x:v>
      </x:c>
      <x:c r="D59" t="s">
        <x:v>78</x:v>
      </x:c>
      <x:c r="E59" t="s">
        <x:v>455</x:v>
      </x:c>
      <x:c r="F59" t="s">
        <x:v>132</x:v>
      </x:c>
    </x:row>
    <x:row r="60" spans="1:6">
      <x:c r="A60" s="18">
        <x:v>29</x:v>
      </x:c>
      <x:c r="B60" t="s">
        <x:v>312</x:v>
      </x:c>
      <x:c r="C60" t="s">
        <x:v>465</x:v>
      </x:c>
      <x:c r="D60" t="s">
        <x:v>78</x:v>
      </x:c>
      <x:c r="E60" t="s">
        <x:v>455</x:v>
      </x:c>
      <x:c r="F60" t="s">
        <x:v>132</x:v>
      </x:c>
    </x:row>
    <x:row r="61" spans="1:6">
      <x:c r="A61" s="18">
        <x:v>30</x:v>
      </x:c>
      <x:c r="B61" t="s">
        <x:v>312</x:v>
      </x:c>
      <x:c r="C61" t="s">
        <x:v>27</x:v>
      </x:c>
      <x:c r="D61" t="s">
        <x:v>78</x:v>
      </x:c>
      <x:c r="E61" t="s">
        <x:v>455</x:v>
      </x:c>
      <x:c r="F61" t="s">
        <x:v>132</x:v>
      </x:c>
    </x:row>
    <x:row r="62" spans="1:6">
      <x:c r="A62" s="18">
        <x:v>31</x:v>
      </x:c>
      <x:c r="B62" t="s">
        <x:v>312</x:v>
      </x:c>
      <x:c r="C62" t="s">
        <x:v>470</x:v>
      </x:c>
      <x:c r="D62" t="s">
        <x:v>78</x:v>
      </x:c>
      <x:c r="E62" t="s">
        <x:v>455</x:v>
      </x:c>
      <x:c r="F62" t="s">
        <x:v>132</x:v>
      </x:c>
    </x:row>
    <x:row r="63" spans="1:6">
      <x:c r="A63" s="18">
        <x:v>32</x:v>
      </x:c>
      <x:c r="B63" t="s">
        <x:v>312</x:v>
      </x:c>
      <x:c r="C63" t="s">
        <x:v>103</x:v>
      </x:c>
      <x:c r="D63" t="s">
        <x:v>78</x:v>
      </x:c>
      <x:c r="E63" t="s">
        <x:v>455</x:v>
      </x:c>
      <x:c r="F63" t="s">
        <x:v>132</x:v>
      </x:c>
    </x:row>
    <x:row r="64" spans="1:6">
      <x:c r="A64" s="18">
        <x:v>33</x:v>
      </x:c>
      <x:c r="B64" t="s">
        <x:v>312</x:v>
      </x:c>
      <x:c r="C64" t="s">
        <x:v>467</x:v>
      </x:c>
      <x:c r="D64" t="s">
        <x:v>78</x:v>
      </x:c>
      <x:c r="E64" t="s">
        <x:v>455</x:v>
      </x:c>
      <x:c r="F64" t="s">
        <x:v>132</x:v>
      </x:c>
    </x:row>
    <x:row r="65" spans="1:6">
      <x:c r="A65" s="18">
        <x:v>34</x:v>
      </x:c>
      <x:c r="B65" t="s">
        <x:v>312</x:v>
      </x:c>
      <x:c r="C65" t="s">
        <x:v>29</x:v>
      </x:c>
      <x:c r="D65" t="s">
        <x:v>78</x:v>
      </x:c>
      <x:c r="E65" t="s">
        <x:v>455</x:v>
      </x:c>
      <x:c r="F65" t="s">
        <x:v>132</x:v>
      </x:c>
    </x:row>
    <x:row r="66" spans="1:6">
      <x:c r="A66" s="18">
        <x:v>35</x:v>
      </x:c>
      <x:c r="B66" t="s">
        <x:v>312</x:v>
      </x:c>
      <x:c r="C66" t="s">
        <x:v>152</x:v>
      </x:c>
      <x:c r="D66" t="s">
        <x:v>78</x:v>
      </x:c>
      <x:c r="E66" t="s">
        <x:v>455</x:v>
      </x:c>
      <x:c r="F66" t="s">
        <x:v>132</x:v>
      </x:c>
    </x:row>
    <x:row r="67" spans="1:6">
      <x:c r="A67" s="18">
        <x:v>36</x:v>
      </x:c>
      <x:c r="B67" t="s">
        <x:v>312</x:v>
      </x:c>
      <x:c r="C67" t="s">
        <x:v>460</x:v>
      </x:c>
      <x:c r="D67" t="s">
        <x:v>78</x:v>
      </x:c>
      <x:c r="E67" t="s">
        <x:v>455</x:v>
      </x:c>
      <x:c r="F67" t="s">
        <x:v>132</x:v>
      </x:c>
    </x:row>
    <x:row r="68" spans="1:6">
      <x:c r="A68" s="18">
        <x:v>37</x:v>
      </x:c>
      <x:c r="B68" t="s">
        <x:v>312</x:v>
      </x:c>
      <x:c r="C68" t="s">
        <x:v>139</x:v>
      </x:c>
      <x:c r="D68" t="s">
        <x:v>78</x:v>
      </x:c>
      <x:c r="E68" t="s">
        <x:v>455</x:v>
      </x:c>
      <x:c r="F68" t="s">
        <x:v>132</x:v>
      </x:c>
    </x:row>
    <x:row r="69" spans="1:6">
      <x:c r="A69" s="18">
        <x:v>38</x:v>
      </x:c>
      <x:c r="B69" t="s">
        <x:v>312</x:v>
      </x:c>
      <x:c r="C69" t="s">
        <x:v>30</x:v>
      </x:c>
      <x:c r="D69" t="s">
        <x:v>78</x:v>
      </x:c>
      <x:c r="E69" t="s">
        <x:v>455</x:v>
      </x:c>
      <x:c r="F69" t="s">
        <x:v>132</x:v>
      </x:c>
    </x:row>
    <x:row r="70" spans="1:6">
      <x:c r="A70" s="18">
        <x:v>39</x:v>
      </x:c>
      <x:c r="B70" t="s">
        <x:v>312</x:v>
      </x:c>
      <x:c r="C70" t="s">
        <x:v>320</x:v>
      </x:c>
      <x:c r="D70" t="s">
        <x:v>78</x:v>
      </x:c>
      <x:c r="E70" t="s">
        <x:v>455</x:v>
      </x:c>
      <x:c r="F70" t="s">
        <x:v>132</x:v>
      </x:c>
    </x:row>
    <x:row r="71" spans="1:6">
      <x:c r="A71" s="18">
        <x:v>40</x:v>
      </x:c>
      <x:c r="B71" t="s">
        <x:v>312</x:v>
      </x:c>
      <x:c r="C71" t="s">
        <x:v>488</x:v>
      </x:c>
      <x:c r="D71" t="s">
        <x:v>78</x:v>
      </x:c>
      <x:c r="E71" t="s">
        <x:v>455</x:v>
      </x:c>
      <x:c r="F71" t="s">
        <x:v>132</x:v>
      </x:c>
    </x:row>
    <x:row r="72" spans="1:6">
      <x:c r="A72" s="18">
        <x:v>1</x:v>
      </x:c>
      <x:c r="B72" t="s">
        <x:v>140</x:v>
      </x:c>
      <x:c r="C72" t="s">
        <x:v>321</x:v>
      </x:c>
      <x:c r="D72" t="s">
        <x:v>78</x:v>
      </x:c>
      <x:c r="E72" t="s">
        <x:v>455</x:v>
      </x:c>
      <x:c r="F72" t="s">
        <x:v>132</x:v>
      </x:c>
    </x:row>
    <x:row r="73" spans="1:6">
      <x:c r="A73" s="18">
        <x:v>2</x:v>
      </x:c>
      <x:c r="B73" t="s">
        <x:v>140</x:v>
      </x:c>
      <x:c r="C73" t="s">
        <x:v>32</x:v>
      </x:c>
      <x:c r="D73" t="s">
        <x:v>78</x:v>
      </x:c>
      <x:c r="E73" t="s">
        <x:v>455</x:v>
      </x:c>
      <x:c r="F73" t="s">
        <x:v>132</x:v>
      </x:c>
    </x:row>
    <x:row r="74" spans="1:6">
      <x:c r="A74" s="18">
        <x:v>3</x:v>
      </x:c>
      <x:c r="B74" t="s">
        <x:v>140</x:v>
      </x:c>
      <x:c r="C74" t="s">
        <x:v>322</x:v>
      </x:c>
      <x:c r="D74" t="s">
        <x:v>78</x:v>
      </x:c>
      <x:c r="E74" t="s">
        <x:v>455</x:v>
      </x:c>
      <x:c r="F74" t="s">
        <x:v>132</x:v>
      </x:c>
    </x:row>
    <x:row r="75" spans="1:6">
      <x:c r="A75" s="18">
        <x:v>4</x:v>
      </x:c>
      <x:c r="B75" t="s">
        <x:v>140</x:v>
      </x:c>
      <x:c r="C75" t="s">
        <x:v>33</x:v>
      </x:c>
      <x:c r="D75" t="s">
        <x:v>78</x:v>
      </x:c>
      <x:c r="E75" t="s">
        <x:v>455</x:v>
      </x:c>
      <x:c r="F75" t="s">
        <x:v>132</x:v>
      </x:c>
    </x:row>
    <x:row r="76" spans="1:6">
      <x:c r="A76" s="18">
        <x:v>5</x:v>
      </x:c>
      <x:c r="B76" t="s">
        <x:v>140</x:v>
      </x:c>
      <x:c r="C76" t="s">
        <x:v>142</x:v>
      </x:c>
      <x:c r="D76" t="s">
        <x:v>78</x:v>
      </x:c>
      <x:c r="E76" t="s">
        <x:v>455</x:v>
      </x:c>
      <x:c r="F76" t="s">
        <x:v>132</x:v>
      </x:c>
    </x:row>
    <x:row r="77" spans="1:6">
      <x:c r="A77" s="18">
        <x:v>6</x:v>
      </x:c>
      <x:c r="B77" t="s">
        <x:v>140</x:v>
      </x:c>
      <x:c r="C77" t="s">
        <x:v>148</x:v>
      </x:c>
      <x:c r="D77" t="s">
        <x:v>78</x:v>
      </x:c>
      <x:c r="E77" t="s">
        <x:v>455</x:v>
      </x:c>
      <x:c r="F77" t="s">
        <x:v>132</x:v>
      </x:c>
    </x:row>
    <x:row r="78" spans="1:6">
      <x:c r="A78" s="18">
        <x:v>7</x:v>
      </x:c>
      <x:c r="B78" t="s">
        <x:v>140</x:v>
      </x:c>
      <x:c r="C78" t="s">
        <x:v>310</x:v>
      </x:c>
      <x:c r="D78" t="s">
        <x:v>78</x:v>
      </x:c>
      <x:c r="E78" t="s">
        <x:v>455</x:v>
      </x:c>
      <x:c r="F78" t="s">
        <x:v>132</x:v>
      </x:c>
    </x:row>
    <x:row r="79" spans="1:6">
      <x:c r="A79" s="18">
        <x:v>8</x:v>
      </x:c>
      <x:c r="B79" t="s">
        <x:v>140</x:v>
      </x:c>
      <x:c r="C79" t="s">
        <x:v>145</x:v>
      </x:c>
      <x:c r="D79" t="s">
        <x:v>78</x:v>
      </x:c>
      <x:c r="E79" t="s">
        <x:v>455</x:v>
      </x:c>
      <x:c r="F79" t="s">
        <x:v>132</x:v>
      </x:c>
    </x:row>
    <x:row r="80" spans="1:6">
      <x:c r="A80" s="18">
        <x:v>9</x:v>
      </x:c>
      <x:c r="B80" t="s">
        <x:v>140</x:v>
      </x:c>
      <x:c r="C80" t="s">
        <x:v>306</x:v>
      </x:c>
      <x:c r="D80" t="s">
        <x:v>78</x:v>
      </x:c>
      <x:c r="E80" t="s">
        <x:v>455</x:v>
      </x:c>
      <x:c r="F80" t="s">
        <x:v>132</x:v>
      </x:c>
    </x:row>
    <x:row r="81" spans="1:6">
      <x:c r="A81" s="18">
        <x:v>10</x:v>
      </x:c>
      <x:c r="B81" t="s">
        <x:v>140</x:v>
      </x:c>
      <x:c r="C81" t="s">
        <x:v>298</x:v>
      </x:c>
      <x:c r="D81" t="s">
        <x:v>78</x:v>
      </x:c>
      <x:c r="E81" t="s">
        <x:v>455</x:v>
      </x:c>
      <x:c r="F81" t="s">
        <x:v>132</x:v>
      </x:c>
    </x:row>
    <x:row r="82" spans="1:6">
      <x:c r="A82" s="18">
        <x:v>11</x:v>
      </x:c>
      <x:c r="B82" t="s">
        <x:v>140</x:v>
      </x:c>
      <x:c r="C82" t="s">
        <x:v>291</x:v>
      </x:c>
      <x:c r="D82" t="s">
        <x:v>78</x:v>
      </x:c>
      <x:c r="E82" t="s">
        <x:v>455</x:v>
      </x:c>
      <x:c r="F82" t="s">
        <x:v>132</x:v>
      </x:c>
    </x:row>
    <x:row r="83" spans="1:6">
      <x:c r="A83" s="18">
        <x:v>12</x:v>
      </x:c>
      <x:c r="B83" t="s">
        <x:v>140</x:v>
      </x:c>
      <x:c r="C83" t="s">
        <x:v>300</x:v>
      </x:c>
      <x:c r="D83" t="s">
        <x:v>78</x:v>
      </x:c>
      <x:c r="E83" t="s">
        <x:v>455</x:v>
      </x:c>
      <x:c r="F83" t="s">
        <x:v>132</x:v>
      </x:c>
    </x:row>
    <x:row r="84" spans="1:6">
      <x:c r="A84" s="18">
        <x:v>13</x:v>
      </x:c>
      <x:c r="B84" t="s">
        <x:v>140</x:v>
      </x:c>
      <x:c r="C84" t="s">
        <x:v>157</x:v>
      </x:c>
      <x:c r="D84" t="s">
        <x:v>78</x:v>
      </x:c>
      <x:c r="E84" t="s">
        <x:v>455</x:v>
      </x:c>
      <x:c r="F84" t="s">
        <x:v>132</x:v>
      </x:c>
    </x:row>
    <x:row r="85" spans="1:6">
      <x:c r="A85" s="18">
        <x:v>14</x:v>
      </x:c>
      <x:c r="B85" t="s">
        <x:v>140</x:v>
      </x:c>
      <x:c r="C85" t="s">
        <x:v>307</x:v>
      </x:c>
      <x:c r="D85" t="s">
        <x:v>78</x:v>
      </x:c>
      <x:c r="E85" t="s">
        <x:v>455</x:v>
      </x:c>
      <x:c r="F85" t="s">
        <x:v>132</x:v>
      </x:c>
    </x:row>
    <x:row r="86" spans="1:6">
      <x:c r="A86" s="18">
        <x:v>15</x:v>
      </x:c>
      <x:c r="B86" t="s">
        <x:v>140</x:v>
      </x:c>
      <x:c r="C86" t="s">
        <x:v>34</x:v>
      </x:c>
      <x:c r="D86" t="s">
        <x:v>78</x:v>
      </x:c>
      <x:c r="E86" t="s">
        <x:v>455</x:v>
      </x:c>
      <x:c r="F86" t="s">
        <x:v>132</x:v>
      </x:c>
    </x:row>
    <x:row r="87" spans="1:6">
      <x:c r="A87" s="18">
        <x:v>16</x:v>
      </x:c>
      <x:c r="B87" t="s">
        <x:v>140</x:v>
      </x:c>
      <x:c r="C87" t="s">
        <x:v>35</x:v>
      </x:c>
      <x:c r="D87" t="s">
        <x:v>78</x:v>
      </x:c>
      <x:c r="E87" t="s">
        <x:v>455</x:v>
      </x:c>
      <x:c r="F87" t="s">
        <x:v>132</x:v>
      </x:c>
    </x:row>
    <x:row r="88" spans="1:6">
      <x:c r="A88" s="18">
        <x:v>17</x:v>
      </x:c>
      <x:c r="B88" t="s">
        <x:v>140</x:v>
      </x:c>
      <x:c r="C88" t="s">
        <x:v>38</x:v>
      </x:c>
      <x:c r="D88" t="s">
        <x:v>78</x:v>
      </x:c>
      <x:c r="E88" t="s">
        <x:v>455</x:v>
      </x:c>
      <x:c r="F88" t="s">
        <x:v>132</x:v>
      </x:c>
    </x:row>
    <x:row r="89" spans="1:6">
      <x:c r="A89" s="18">
        <x:v>18</x:v>
      </x:c>
      <x:c r="B89" t="s">
        <x:v>140</x:v>
      </x:c>
      <x:c r="C89" t="s">
        <x:v>153</x:v>
      </x:c>
      <x:c r="D89" t="s">
        <x:v>78</x:v>
      </x:c>
      <x:c r="E89" t="s">
        <x:v>455</x:v>
      </x:c>
      <x:c r="F89" t="s">
        <x:v>132</x:v>
      </x:c>
    </x:row>
    <x:row r="90" spans="1:6">
      <x:c r="A90" s="18">
        <x:v>19</x:v>
      </x:c>
      <x:c r="B90" t="s">
        <x:v>140</x:v>
      </x:c>
      <x:c r="C90" t="s">
        <x:v>295</x:v>
      </x:c>
      <x:c r="D90" t="s">
        <x:v>78</x:v>
      </x:c>
      <x:c r="E90" t="s">
        <x:v>455</x:v>
      </x:c>
      <x:c r="F90" t="s">
        <x:v>132</x:v>
      </x:c>
    </x:row>
    <x:row r="91" spans="1:6">
      <x:c r="A91" s="18">
        <x:v>20</x:v>
      </x:c>
      <x:c r="B91" t="s">
        <x:v>140</x:v>
      </x:c>
      <x:c r="C91" t="s">
        <x:v>293</x:v>
      </x:c>
      <x:c r="D91" t="s">
        <x:v>78</x:v>
      </x:c>
      <x:c r="E91" t="s">
        <x:v>455</x:v>
      </x:c>
      <x:c r="F91" t="s">
        <x:v>132</x:v>
      </x:c>
    </x:row>
    <x:row r="92" spans="1:6">
      <x:c r="A92" s="18">
        <x:v>21</x:v>
      </x:c>
      <x:c r="B92" t="s">
        <x:v>140</x:v>
      </x:c>
      <x:c r="C92" t="s">
        <x:v>314</x:v>
      </x:c>
      <x:c r="D92" t="s">
        <x:v>78</x:v>
      </x:c>
      <x:c r="E92" t="s">
        <x:v>455</x:v>
      </x:c>
      <x:c r="F92" t="s">
        <x:v>132</x:v>
      </x:c>
    </x:row>
    <x:row r="93" spans="1:6">
      <x:c r="A93" s="18">
        <x:v>22</x:v>
      </x:c>
      <x:c r="B93" t="s">
        <x:v>140</x:v>
      </x:c>
      <x:c r="C93" t="s">
        <x:v>296</x:v>
      </x:c>
      <x:c r="D93" t="s">
        <x:v>78</x:v>
      </x:c>
      <x:c r="E93" t="s">
        <x:v>455</x:v>
      </x:c>
      <x:c r="F93" t="s">
        <x:v>132</x:v>
      </x:c>
    </x:row>
    <x:row r="94" spans="1:6">
      <x:c r="A94" s="18">
        <x:v>23</x:v>
      </x:c>
      <x:c r="B94" t="s">
        <x:v>140</x:v>
      </x:c>
      <x:c r="C94" t="s">
        <x:v>155</x:v>
      </x:c>
      <x:c r="D94" t="s">
        <x:v>78</x:v>
      </x:c>
      <x:c r="E94" t="s">
        <x:v>455</x:v>
      </x:c>
      <x:c r="F94" t="s">
        <x:v>132</x:v>
      </x:c>
    </x:row>
    <x:row r="95" spans="1:6">
      <x:c r="A95" s="18">
        <x:v>24</x:v>
      </x:c>
      <x:c r="B95" t="s">
        <x:v>140</x:v>
      </x:c>
      <x:c r="C95" t="s">
        <x:v>297</x:v>
      </x:c>
      <x:c r="D95" t="s">
        <x:v>78</x:v>
      </x:c>
      <x:c r="E95" t="s">
        <x:v>455</x:v>
      </x:c>
      <x:c r="F95" t="s">
        <x:v>132</x:v>
      </x:c>
    </x:row>
    <x:row r="96" spans="1:6">
      <x:c r="A96" s="18">
        <x:v>25</x:v>
      </x:c>
      <x:c r="B96" t="s">
        <x:v>140</x:v>
      </x:c>
      <x:c r="C96" t="s">
        <x:v>309</x:v>
      </x:c>
      <x:c r="D96" t="s">
        <x:v>78</x:v>
      </x:c>
      <x:c r="E96" t="s">
        <x:v>455</x:v>
      </x:c>
      <x:c r="F96" t="s">
        <x:v>132</x:v>
      </x:c>
    </x:row>
    <x:row r="97" spans="1:6">
      <x:c r="A97" s="18">
        <x:v>26</x:v>
      </x:c>
      <x:c r="B97" t="s">
        <x:v>140</x:v>
      </x:c>
      <x:c r="C97" t="s">
        <x:v>299</x:v>
      </x:c>
      <x:c r="D97" t="s">
        <x:v>78</x:v>
      </x:c>
      <x:c r="E97" t="s">
        <x:v>455</x:v>
      </x:c>
      <x:c r="F97" t="s">
        <x:v>132</x:v>
      </x:c>
    </x:row>
    <x:row r="98" spans="1:6">
      <x:c r="A98" s="18">
        <x:v>27</x:v>
      </x:c>
      <x:c r="B98" t="s">
        <x:v>140</x:v>
      </x:c>
      <x:c r="C98" t="s">
        <x:v>301</x:v>
      </x:c>
      <x:c r="D98" t="s">
        <x:v>78</x:v>
      </x:c>
      <x:c r="E98" t="s">
        <x:v>455</x:v>
      </x:c>
      <x:c r="F98" t="s">
        <x:v>132</x:v>
      </x:c>
    </x:row>
    <x:row r="99" spans="1:6">
      <x:c r="A99" s="18">
        <x:v>28</x:v>
      </x:c>
      <x:c r="B99" t="s">
        <x:v>140</x:v>
      </x:c>
      <x:c r="C99" t="s">
        <x:v>143</x:v>
      </x:c>
      <x:c r="D99" t="s">
        <x:v>78</x:v>
      </x:c>
      <x:c r="E99" t="s">
        <x:v>455</x:v>
      </x:c>
      <x:c r="F99" t="s">
        <x:v>132</x:v>
      </x:c>
    </x:row>
    <x:row r="100" spans="1:6">
      <x:c r="A100" s="18">
        <x:v>29</x:v>
      </x:c>
      <x:c r="B100" t="s">
        <x:v>140</x:v>
      </x:c>
      <x:c r="C100" t="s">
        <x:v>146</x:v>
      </x:c>
      <x:c r="D100" t="s">
        <x:v>78</x:v>
      </x:c>
      <x:c r="E100" t="s">
        <x:v>455</x:v>
      </x:c>
      <x:c r="F100" t="s">
        <x:v>132</x:v>
      </x:c>
    </x:row>
    <x:row r="101" spans="1:6">
      <x:c r="A101" s="18">
        <x:v>30</x:v>
      </x:c>
      <x:c r="B101" t="s">
        <x:v>140</x:v>
      </x:c>
      <x:c r="C101" t="s">
        <x:v>302</x:v>
      </x:c>
      <x:c r="D101" t="s">
        <x:v>78</x:v>
      </x:c>
      <x:c r="E101" t="s">
        <x:v>455</x:v>
      </x:c>
      <x:c r="F101" t="s">
        <x:v>132</x:v>
      </x:c>
    </x:row>
    <x:row r="102" spans="1:6">
      <x:c r="A102" s="18">
        <x:v>31</x:v>
      </x:c>
      <x:c r="B102" t="s">
        <x:v>140</x:v>
      </x:c>
      <x:c r="C102" t="s">
        <x:v>159</x:v>
      </x:c>
      <x:c r="D102" t="s">
        <x:v>78</x:v>
      </x:c>
      <x:c r="E102" t="s">
        <x:v>455</x:v>
      </x:c>
      <x:c r="F102" t="s">
        <x:v>132</x:v>
      </x:c>
    </x:row>
    <x:row r="103" spans="1:6">
      <x:c r="A103" s="18">
        <x:v>32</x:v>
      </x:c>
      <x:c r="B103" t="s">
        <x:v>140</x:v>
      </x:c>
      <x:c r="C103" t="s">
        <x:v>181</x:v>
      </x:c>
      <x:c r="D103" t="s">
        <x:v>78</x:v>
      </x:c>
      <x:c r="E103" t="s">
        <x:v>455</x:v>
      </x:c>
      <x:c r="F103" t="s">
        <x:v>132</x:v>
      </x:c>
    </x:row>
    <x:row r="104" spans="1:6">
      <x:c r="A104" s="18">
        <x:v>33</x:v>
      </x:c>
      <x:c r="B104" t="s">
        <x:v>140</x:v>
      </x:c>
      <x:c r="C104" t="s">
        <x:v>489</x:v>
      </x:c>
      <x:c r="D104" t="s">
        <x:v>78</x:v>
      </x:c>
      <x:c r="E104" t="s">
        <x:v>455</x:v>
      </x:c>
      <x:c r="F104" t="s">
        <x:v>132</x:v>
      </x:c>
    </x:row>
    <x:row r="105" spans="1:6">
      <x:c r="A105" s="18">
        <x:v>34</x:v>
      </x:c>
      <x:c r="B105" t="s">
        <x:v>140</x:v>
      </x:c>
      <x:c r="C105" t="s">
        <x:v>52</x:v>
      </x:c>
      <x:c r="D105" t="s">
        <x:v>78</x:v>
      </x:c>
      <x:c r="E105" t="s">
        <x:v>455</x:v>
      </x:c>
      <x:c r="F105" t="s">
        <x:v>132</x:v>
      </x:c>
    </x:row>
    <x:row r="106" spans="1:6">
      <x:c r="A106" s="18">
        <x:v>35</x:v>
      </x:c>
      <x:c r="B106" t="s">
        <x:v>140</x:v>
      </x:c>
      <x:c r="C106" t="s">
        <x:v>45</x:v>
      </x:c>
      <x:c r="D106" t="s">
        <x:v>78</x:v>
      </x:c>
      <x:c r="E106" t="s">
        <x:v>455</x:v>
      </x:c>
      <x:c r="F106" t="s">
        <x:v>132</x:v>
      </x:c>
    </x:row>
    <x:row r="107" spans="1:6">
      <x:c r="A107" s="18">
        <x:v>36</x:v>
      </x:c>
      <x:c r="B107" t="s">
        <x:v>140</x:v>
      </x:c>
      <x:c r="C107" t="s">
        <x:v>303</x:v>
      </x:c>
      <x:c r="D107" t="s">
        <x:v>78</x:v>
      </x:c>
      <x:c r="E107" t="s">
        <x:v>455</x:v>
      </x:c>
      <x:c r="F107" t="s">
        <x:v>132</x:v>
      </x:c>
    </x:row>
    <x:row r="108" spans="1:6">
      <x:c r="A108" s="18">
        <x:v>37</x:v>
      </x:c>
      <x:c r="B108" t="s">
        <x:v>140</x:v>
      </x:c>
      <x:c r="C108" t="s">
        <x:v>46</x:v>
      </x:c>
      <x:c r="D108" t="s">
        <x:v>78</x:v>
      </x:c>
      <x:c r="E108" t="s">
        <x:v>455</x:v>
      </x:c>
      <x:c r="F108" t="s">
        <x:v>132</x:v>
      </x:c>
    </x:row>
    <x:row r="109" spans="1:6">
      <x:c r="A109" s="18">
        <x:v>38</x:v>
      </x:c>
      <x:c r="B109" t="s">
        <x:v>140</x:v>
      </x:c>
      <x:c r="C109" t="s">
        <x:v>304</x:v>
      </x:c>
      <x:c r="D109" t="s">
        <x:v>78</x:v>
      </x:c>
      <x:c r="E109" t="s">
        <x:v>455</x:v>
      </x:c>
      <x:c r="F109" t="s">
        <x:v>132</x:v>
      </x:c>
    </x:row>
    <x:row r="110" spans="1:6">
      <x:c r="A110" s="18">
        <x:v>39</x:v>
      </x:c>
      <x:c r="B110" t="s">
        <x:v>140</x:v>
      </x:c>
      <x:c r="C110" t="s">
        <x:v>58</x:v>
      </x:c>
      <x:c r="D110" t="s">
        <x:v>78</x:v>
      </x:c>
      <x:c r="E110" t="s">
        <x:v>455</x:v>
      </x:c>
      <x:c r="F110" t="s">
        <x:v>132</x:v>
      </x:c>
    </x:row>
    <x:row r="111" spans="1:6">
      <x:c r="A111" s="18">
        <x:v>40</x:v>
      </x:c>
      <x:c r="B111" t="s">
        <x:v>140</x:v>
      </x:c>
      <x:c r="C111" t="s">
        <x:v>55</x:v>
      </x:c>
      <x:c r="D111" t="s">
        <x:v>78</x:v>
      </x:c>
      <x:c r="E111" t="s">
        <x:v>455</x:v>
      </x:c>
      <x:c r="F111" t="s">
        <x:v>132</x:v>
      </x:c>
    </x:row>
    <x:row r="112" spans="1:6">
      <x:c r="A112" s="18">
        <x:v>1</x:v>
      </x:c>
      <x:c r="B112" t="s">
        <x:v>185</x:v>
      </x:c>
      <x:c r="C112" t="s">
        <x:v>186</x:v>
      </x:c>
      <x:c r="D112" t="s">
        <x:v>78</x:v>
      </x:c>
      <x:c r="E112" t="s">
        <x:v>455</x:v>
      </x:c>
      <x:c r="F112" t="s">
        <x:v>132</x:v>
      </x:c>
    </x:row>
    <x:row r="113" spans="1:6">
      <x:c r="A113" s="18">
        <x:v>2</x:v>
      </x:c>
      <x:c r="B113" t="s">
        <x:v>185</x:v>
      </x:c>
      <x:c r="C113" t="s">
        <x:v>193</x:v>
      </x:c>
      <x:c r="D113" t="s">
        <x:v>78</x:v>
      </x:c>
      <x:c r="E113" t="s">
        <x:v>455</x:v>
      </x:c>
      <x:c r="F113" t="s">
        <x:v>132</x:v>
      </x:c>
    </x:row>
    <x:row r="114" spans="1:6">
      <x:c r="A114" s="18">
        <x:v>3</x:v>
      </x:c>
      <x:c r="B114" t="s">
        <x:v>185</x:v>
      </x:c>
      <x:c r="C114" t="s">
        <x:v>59</x:v>
      </x:c>
      <x:c r="D114" t="s">
        <x:v>78</x:v>
      </x:c>
      <x:c r="E114" t="s">
        <x:v>455</x:v>
      </x:c>
      <x:c r="F114" t="s">
        <x:v>132</x:v>
      </x:c>
    </x:row>
    <x:row r="115" spans="1:6">
      <x:c r="A115" s="18">
        <x:v>4</x:v>
      </x:c>
      <x:c r="B115" t="s">
        <x:v>185</x:v>
      </x:c>
      <x:c r="C115" t="s">
        <x:v>182</x:v>
      </x:c>
      <x:c r="D115" t="s">
        <x:v>78</x:v>
      </x:c>
      <x:c r="E115" t="s">
        <x:v>455</x:v>
      </x:c>
      <x:c r="F115" t="s">
        <x:v>132</x:v>
      </x:c>
    </x:row>
    <x:row r="116" spans="1:6">
      <x:c r="A116" s="18">
        <x:v>5</x:v>
      </x:c>
      <x:c r="B116" t="s">
        <x:v>185</x:v>
      </x:c>
      <x:c r="C116" t="s">
        <x:v>305</x:v>
      </x:c>
      <x:c r="D116" t="s">
        <x:v>78</x:v>
      </x:c>
      <x:c r="E116" t="s">
        <x:v>455</x:v>
      </x:c>
      <x:c r="F116" t="s">
        <x:v>132</x:v>
      </x:c>
    </x:row>
    <x:row r="117" spans="1:6">
      <x:c r="A117" s="18">
        <x:v>6</x:v>
      </x:c>
      <x:c r="B117" t="s">
        <x:v>185</x:v>
      </x:c>
      <x:c r="C117" t="s">
        <x:v>188</x:v>
      </x:c>
      <x:c r="D117" t="s">
        <x:v>78</x:v>
      </x:c>
      <x:c r="E117" t="s">
        <x:v>455</x:v>
      </x:c>
      <x:c r="F117" t="s">
        <x:v>132</x:v>
      </x:c>
    </x:row>
    <x:row r="118" spans="1:6">
      <x:c r="A118" s="18">
        <x:v>7</x:v>
      </x:c>
      <x:c r="B118" t="s">
        <x:v>185</x:v>
      </x:c>
      <x:c r="C118" t="s">
        <x:v>471</x:v>
      </x:c>
      <x:c r="D118" t="s">
        <x:v>78</x:v>
      </x:c>
      <x:c r="E118" t="s">
        <x:v>455</x:v>
      </x:c>
      <x:c r="F118" t="s">
        <x:v>132</x:v>
      </x:c>
    </x:row>
    <x:row r="119" spans="1:6">
      <x:c r="A119" s="18">
        <x:v>8</x:v>
      </x:c>
      <x:c r="B119" t="s">
        <x:v>185</x:v>
      </x:c>
      <x:c r="C119" t="s">
        <x:v>56</x:v>
      </x:c>
      <x:c r="D119" t="s">
        <x:v>78</x:v>
      </x:c>
      <x:c r="E119" t="s">
        <x:v>455</x:v>
      </x:c>
      <x:c r="F119" t="s">
        <x:v>132</x:v>
      </x:c>
    </x:row>
    <x:row r="120" spans="1:6">
      <x:c r="A120" s="18">
        <x:v>9</x:v>
      </x:c>
      <x:c r="B120" t="s">
        <x:v>185</x:v>
      </x:c>
      <x:c r="C120" t="s">
        <x:v>187</x:v>
      </x:c>
      <x:c r="D120" t="s">
        <x:v>78</x:v>
      </x:c>
      <x:c r="E120" t="s">
        <x:v>455</x:v>
      </x:c>
      <x:c r="F120" t="s">
        <x:v>132</x:v>
      </x:c>
    </x:row>
    <x:row r="121" spans="1:6">
      <x:c r="A121" s="18">
        <x:v>10</x:v>
      </x:c>
      <x:c r="B121" t="s">
        <x:v>185</x:v>
      </x:c>
      <x:c r="C121" t="s">
        <x:v>183</x:v>
      </x:c>
      <x:c r="D121" t="s">
        <x:v>78</x:v>
      </x:c>
      <x:c r="E121" t="s">
        <x:v>455</x:v>
      </x:c>
      <x:c r="F121" t="s">
        <x:v>132</x:v>
      </x:c>
    </x:row>
    <x:row r="122" spans="1:6">
      <x:c r="A122" s="18">
        <x:v>11</x:v>
      </x:c>
      <x:c r="B122" t="s">
        <x:v>185</x:v>
      </x:c>
      <x:c r="C122" t="s">
        <x:v>53</x:v>
      </x:c>
      <x:c r="D122" t="s">
        <x:v>78</x:v>
      </x:c>
      <x:c r="E122" t="s">
        <x:v>455</x:v>
      </x:c>
      <x:c r="F122" t="s">
        <x:v>132</x:v>
      </x:c>
    </x:row>
    <x:row r="123" spans="1:6">
      <x:c r="A123" s="18">
        <x:v>12</x:v>
      </x:c>
      <x:c r="B123" t="s">
        <x:v>185</x:v>
      </x:c>
      <x:c r="C123" t="s">
        <x:v>194</x:v>
      </x:c>
      <x:c r="D123" t="s">
        <x:v>78</x:v>
      </x:c>
      <x:c r="E123" t="s">
        <x:v>455</x:v>
      </x:c>
      <x:c r="F123" t="s">
        <x:v>132</x:v>
      </x:c>
    </x:row>
    <x:row r="124" spans="1:6">
      <x:c r="A124" s="18">
        <x:v>13</x:v>
      </x:c>
      <x:c r="B124" t="s">
        <x:v>185</x:v>
      </x:c>
      <x:c r="C124" t="s">
        <x:v>190</x:v>
      </x:c>
      <x:c r="D124" t="s">
        <x:v>78</x:v>
      </x:c>
      <x:c r="E124" t="s">
        <x:v>455</x:v>
      </x:c>
      <x:c r="F124" t="s">
        <x:v>132</x:v>
      </x:c>
    </x:row>
    <x:row r="125" spans="1:6">
      <x:c r="A125" s="18">
        <x:v>14</x:v>
      </x:c>
      <x:c r="B125" t="s">
        <x:v>185</x:v>
      </x:c>
      <x:c r="C125" t="s">
        <x:v>177</x:v>
      </x:c>
      <x:c r="D125" t="s">
        <x:v>78</x:v>
      </x:c>
      <x:c r="E125" t="s">
        <x:v>455</x:v>
      </x:c>
      <x:c r="F125" t="s">
        <x:v>132</x:v>
      </x:c>
    </x:row>
    <x:row r="126" spans="1:6">
      <x:c r="A126" s="18">
        <x:v>15</x:v>
      </x:c>
      <x:c r="B126" t="s">
        <x:v>185</x:v>
      </x:c>
      <x:c r="C126" t="s">
        <x:v>472</x:v>
      </x:c>
      <x:c r="D126" t="s">
        <x:v>78</x:v>
      </x:c>
      <x:c r="E126" t="s">
        <x:v>455</x:v>
      </x:c>
      <x:c r="F126" t="s">
        <x:v>132</x:v>
      </x:c>
    </x:row>
    <x:row r="127" spans="1:6">
      <x:c r="A127" s="18">
        <x:v>16</x:v>
      </x:c>
      <x:c r="B127" t="s">
        <x:v>185</x:v>
      </x:c>
      <x:c r="C127" t="s">
        <x:v>178</x:v>
      </x:c>
      <x:c r="D127" t="s">
        <x:v>78</x:v>
      </x:c>
      <x:c r="E127" t="s">
        <x:v>455</x:v>
      </x:c>
      <x:c r="F127" t="s">
        <x:v>132</x:v>
      </x:c>
    </x:row>
    <x:row r="128" spans="1:6">
      <x:c r="A128" s="18">
        <x:v>17</x:v>
      </x:c>
      <x:c r="B128" t="s">
        <x:v>185</x:v>
      </x:c>
      <x:c r="C128" t="s">
        <x:v>195</x:v>
      </x:c>
      <x:c r="D128" t="s">
        <x:v>78</x:v>
      </x:c>
      <x:c r="E128" t="s">
        <x:v>455</x:v>
      </x:c>
      <x:c r="F128" t="s">
        <x:v>132</x:v>
      </x:c>
    </x:row>
    <x:row r="129" spans="1:6">
      <x:c r="A129" s="18">
        <x:v>18</x:v>
      </x:c>
      <x:c r="B129" t="s">
        <x:v>185</x:v>
      </x:c>
      <x:c r="C129" t="s">
        <x:v>311</x:v>
      </x:c>
      <x:c r="D129" t="s">
        <x:v>78</x:v>
      </x:c>
      <x:c r="E129" t="s">
        <x:v>455</x:v>
      </x:c>
      <x:c r="F129" t="s">
        <x:v>132</x:v>
      </x:c>
    </x:row>
    <x:row r="130" spans="1:6">
      <x:c r="A130" s="18">
        <x:v>19</x:v>
      </x:c>
      <x:c r="B130" t="s">
        <x:v>185</x:v>
      </x:c>
      <x:c r="C130" t="s">
        <x:v>54</x:v>
      </x:c>
      <x:c r="D130" t="s">
        <x:v>78</x:v>
      </x:c>
      <x:c r="E130" t="s">
        <x:v>455</x:v>
      </x:c>
      <x:c r="F130" t="s">
        <x:v>132</x:v>
      </x:c>
    </x:row>
    <x:row r="131" spans="1:6">
      <x:c r="A131" s="18">
        <x:v>20</x:v>
      </x:c>
      <x:c r="B131" t="s">
        <x:v>185</x:v>
      </x:c>
      <x:c r="C131" t="s">
        <x:v>164</x:v>
      </x:c>
      <x:c r="D131" t="s">
        <x:v>78</x:v>
      </x:c>
      <x:c r="E131" t="s">
        <x:v>455</x:v>
      </x:c>
      <x:c r="F131" t="s">
        <x:v>132</x:v>
      </x:c>
    </x:row>
    <x:row r="132" spans="1:6">
      <x:c r="A132" s="18">
        <x:v>21</x:v>
      </x:c>
      <x:c r="B132" t="s">
        <x:v>185</x:v>
      </x:c>
      <x:c r="C132" t="s">
        <x:v>43</x:v>
      </x:c>
      <x:c r="D132" t="s">
        <x:v>78</x:v>
      </x:c>
      <x:c r="E132" t="s">
        <x:v>455</x:v>
      </x:c>
      <x:c r="F132" t="s">
        <x:v>132</x:v>
      </x:c>
    </x:row>
    <x:row r="133" spans="1:6">
      <x:c r="A133" s="18">
        <x:v>22</x:v>
      </x:c>
      <x:c r="B133" t="s">
        <x:v>185</x:v>
      </x:c>
      <x:c r="C133" t="s">
        <x:v>313</x:v>
      </x:c>
      <x:c r="D133" t="s">
        <x:v>78</x:v>
      </x:c>
      <x:c r="E133" t="s">
        <x:v>455</x:v>
      </x:c>
      <x:c r="F133" t="s">
        <x:v>132</x:v>
      </x:c>
    </x:row>
    <x:row r="134" spans="1:6">
      <x:c r="A134" s="18">
        <x:v>23</x:v>
      </x:c>
      <x:c r="B134" t="s">
        <x:v>185</x:v>
      </x:c>
      <x:c r="C134" t="s">
        <x:v>349</x:v>
      </x:c>
      <x:c r="D134" t="s">
        <x:v>78</x:v>
      </x:c>
      <x:c r="E134" t="s">
        <x:v>455</x:v>
      </x:c>
      <x:c r="F134" t="s">
        <x:v>132</x:v>
      </x:c>
    </x:row>
    <x:row r="135" spans="1:6">
      <x:c r="A135" s="18">
        <x:v>24</x:v>
      </x:c>
      <x:c r="B135" t="s">
        <x:v>185</x:v>
      </x:c>
      <x:c r="C135" t="s">
        <x:v>473</x:v>
      </x:c>
      <x:c r="D135" t="s">
        <x:v>78</x:v>
      </x:c>
      <x:c r="E135" t="s">
        <x:v>455</x:v>
      </x:c>
      <x:c r="F135" t="s">
        <x:v>132</x:v>
      </x:c>
    </x:row>
    <x:row r="136" spans="1:6">
      <x:c r="A136" s="18">
        <x:v>25</x:v>
      </x:c>
      <x:c r="B136" t="s">
        <x:v>185</x:v>
      </x:c>
      <x:c r="C136" t="s">
        <x:v>475</x:v>
      </x:c>
      <x:c r="D136" t="s">
        <x:v>78</x:v>
      </x:c>
      <x:c r="E136" t="s">
        <x:v>455</x:v>
      </x:c>
      <x:c r="F136" t="s">
        <x:v>132</x:v>
      </x:c>
    </x:row>
    <x:row r="137" spans="1:6">
      <x:c r="A137" s="18">
        <x:v>26</x:v>
      </x:c>
      <x:c r="B137" t="s">
        <x:v>185</x:v>
      </x:c>
      <x:c r="C137" t="s">
        <x:v>184</x:v>
      </x:c>
      <x:c r="D137" t="s">
        <x:v>78</x:v>
      </x:c>
      <x:c r="E137" t="s">
        <x:v>455</x:v>
      </x:c>
      <x:c r="F137" t="s">
        <x:v>132</x:v>
      </x:c>
    </x:row>
    <x:row r="138" spans="1:6">
      <x:c r="A138" s="18">
        <x:v>27</x:v>
      </x:c>
      <x:c r="B138" t="s">
        <x:v>185</x:v>
      </x:c>
      <x:c r="C138" t="s">
        <x:v>50</x:v>
      </x:c>
      <x:c r="D138" t="s">
        <x:v>78</x:v>
      </x:c>
      <x:c r="E138" t="s">
        <x:v>455</x:v>
      </x:c>
      <x:c r="F138" t="s">
        <x:v>132</x:v>
      </x:c>
    </x:row>
    <x:row r="139" spans="1:6">
      <x:c r="A139" s="18">
        <x:v>28</x:v>
      </x:c>
      <x:c r="B139" t="s">
        <x:v>185</x:v>
      </x:c>
      <x:c r="C139" t="s">
        <x:v>476</x:v>
      </x:c>
      <x:c r="D139" t="s">
        <x:v>78</x:v>
      </x:c>
      <x:c r="E139" t="s">
        <x:v>455</x:v>
      </x:c>
      <x:c r="F139" t="s">
        <x:v>132</x:v>
      </x:c>
    </x:row>
    <x:row r="140" spans="1:6">
      <x:c r="A140" s="18">
        <x:v>29</x:v>
      </x:c>
      <x:c r="B140" t="s">
        <x:v>185</x:v>
      </x:c>
      <x:c r="C140" t="s">
        <x:v>104</x:v>
      </x:c>
      <x:c r="D140" t="s">
        <x:v>78</x:v>
      </x:c>
      <x:c r="E140" t="s">
        <x:v>455</x:v>
      </x:c>
      <x:c r="F140" t="s">
        <x:v>132</x:v>
      </x:c>
    </x:row>
    <x:row r="141" spans="1:6">
      <x:c r="A141" s="18">
        <x:v>30</x:v>
      </x:c>
      <x:c r="B141" t="s">
        <x:v>185</x:v>
      </x:c>
      <x:c r="C141" t="s">
        <x:v>474</x:v>
      </x:c>
      <x:c r="D141" t="s">
        <x:v>78</x:v>
      </x:c>
      <x:c r="E141" t="s">
        <x:v>455</x:v>
      </x:c>
      <x:c r="F141" t="s">
        <x:v>132</x:v>
      </x:c>
    </x:row>
    <x:row r="142" spans="1:6">
      <x:c r="A142" s="18">
        <x:v>1</x:v>
      </x:c>
      <x:c r="B142" t="s">
        <x:v>331</x:v>
      </x:c>
      <x:c r="C142" t="s">
        <x:v>189</x:v>
      </x:c>
      <x:c r="D142" t="s">
        <x:v>78</x:v>
      </x:c>
      <x:c r="E142" t="s">
        <x:v>455</x:v>
      </x:c>
      <x:c r="F142" t="s">
        <x:v>132</x:v>
      </x:c>
    </x:row>
    <x:row r="143" spans="1:6">
      <x:c r="A143" s="18">
        <x:v>2</x:v>
      </x:c>
      <x:c r="B143" t="s">
        <x:v>331</x:v>
      </x:c>
      <x:c r="C143" t="s">
        <x:v>346</x:v>
      </x:c>
      <x:c r="D143" t="s">
        <x:v>78</x:v>
      </x:c>
      <x:c r="E143" t="s">
        <x:v>455</x:v>
      </x:c>
      <x:c r="F143" t="s">
        <x:v>132</x:v>
      </x:c>
    </x:row>
    <x:row r="144" spans="1:6">
      <x:c r="A144" s="18">
        <x:v>3</x:v>
      </x:c>
      <x:c r="B144" t="s">
        <x:v>331</x:v>
      </x:c>
      <x:c r="C144" t="s">
        <x:v>347</x:v>
      </x:c>
      <x:c r="D144" t="s">
        <x:v>78</x:v>
      </x:c>
      <x:c r="E144" t="s">
        <x:v>455</x:v>
      </x:c>
      <x:c r="F144" t="s">
        <x:v>132</x:v>
      </x:c>
    </x:row>
    <x:row r="145" spans="1:6">
      <x:c r="A145" s="18">
        <x:v>4</x:v>
      </x:c>
      <x:c r="B145" t="s">
        <x:v>331</x:v>
      </x:c>
      <x:c r="C145" t="s">
        <x:v>491</x:v>
      </x:c>
      <x:c r="D145" t="s">
        <x:v>78</x:v>
      </x:c>
      <x:c r="E145" t="s">
        <x:v>455</x:v>
      </x:c>
      <x:c r="F145" t="s">
        <x:v>132</x:v>
      </x:c>
    </x:row>
    <x:row r="146" spans="1:6">
      <x:c r="A146" s="18">
        <x:v>5</x:v>
      </x:c>
      <x:c r="B146" t="s">
        <x:v>331</x:v>
      </x:c>
      <x:c r="C146" t="s">
        <x:v>332</x:v>
      </x:c>
      <x:c r="D146" t="s">
        <x:v>78</x:v>
      </x:c>
      <x:c r="E146" t="s">
        <x:v>455</x:v>
      </x:c>
      <x:c r="F146" t="s">
        <x:v>132</x:v>
      </x:c>
    </x:row>
    <x:row r="147" spans="1:6">
      <x:c r="A147" s="18">
        <x:v>6</x:v>
      </x:c>
      <x:c r="B147" t="s">
        <x:v>331</x:v>
      </x:c>
      <x:c r="C147" t="s">
        <x:v>168</x:v>
      </x:c>
      <x:c r="D147" t="s">
        <x:v>78</x:v>
      </x:c>
      <x:c r="E147" t="s">
        <x:v>455</x:v>
      </x:c>
      <x:c r="F147" t="s">
        <x:v>132</x:v>
      </x:c>
    </x:row>
    <x:row r="148" spans="1:6">
      <x:c r="A148" s="18">
        <x:v>7</x:v>
      </x:c>
      <x:c r="B148" t="s">
        <x:v>331</x:v>
      </x:c>
      <x:c r="C148" t="s">
        <x:v>490</x:v>
      </x:c>
      <x:c r="D148" t="s">
        <x:v>78</x:v>
      </x:c>
      <x:c r="E148" t="s">
        <x:v>455</x:v>
      </x:c>
      <x:c r="F148" t="s">
        <x:v>132</x:v>
      </x:c>
    </x:row>
    <x:row r="149" spans="1:6">
      <x:c r="A149" s="18">
        <x:v>8</x:v>
      </x:c>
      <x:c r="B149" t="s">
        <x:v>331</x:v>
      </x:c>
      <x:c r="C149" t="s">
        <x:v>492</x:v>
      </x:c>
      <x:c r="D149" t="s">
        <x:v>78</x:v>
      </x:c>
      <x:c r="E149" t="s">
        <x:v>455</x:v>
      </x:c>
      <x:c r="F149" t="s">
        <x:v>132</x:v>
      </x:c>
    </x:row>
    <x:row r="150" spans="1:6">
      <x:c r="A150" s="18">
        <x:v>9</x:v>
      </x:c>
      <x:c r="B150" t="s">
        <x:v>331</x:v>
      </x:c>
      <x:c r="C150" t="s">
        <x:v>165</x:v>
      </x:c>
      <x:c r="D150" t="s">
        <x:v>78</x:v>
      </x:c>
      <x:c r="E150" t="s">
        <x:v>455</x:v>
      </x:c>
      <x:c r="F150" t="s">
        <x:v>132</x:v>
      </x:c>
    </x:row>
    <x:row r="151" spans="1:6">
      <x:c r="A151" s="18">
        <x:v>10</x:v>
      </x:c>
      <x:c r="B151" t="s">
        <x:v>331</x:v>
      </x:c>
      <x:c r="C151" t="s">
        <x:v>333</x:v>
      </x:c>
      <x:c r="D151" t="s">
        <x:v>78</x:v>
      </x:c>
      <x:c r="E151" t="s">
        <x:v>455</x:v>
      </x:c>
      <x:c r="F151" t="s">
        <x:v>132</x:v>
      </x:c>
    </x:row>
    <x:row r="152" spans="1:6">
      <x:c r="A152" s="18">
        <x:v>11</x:v>
      </x:c>
      <x:c r="B152" t="s">
        <x:v>331</x:v>
      </x:c>
      <x:c r="C152" t="s">
        <x:v>335</x:v>
      </x:c>
      <x:c r="D152" t="s">
        <x:v>78</x:v>
      </x:c>
      <x:c r="E152" t="s">
        <x:v>455</x:v>
      </x:c>
      <x:c r="F152" t="s">
        <x:v>132</x:v>
      </x:c>
    </x:row>
    <x:row r="153" spans="1:6">
      <x:c r="A153" s="18">
        <x:v>12</x:v>
      </x:c>
      <x:c r="B153" t="s">
        <x:v>331</x:v>
      </x:c>
      <x:c r="C153" t="s">
        <x:v>173</x:v>
      </x:c>
      <x:c r="D153" t="s">
        <x:v>78</x:v>
      </x:c>
      <x:c r="E153" t="s">
        <x:v>455</x:v>
      </x:c>
      <x:c r="F153" t="s">
        <x:v>132</x:v>
      </x:c>
    </x:row>
    <x:row r="154" spans="1:6">
      <x:c r="A154" s="18">
        <x:v>13</x:v>
      </x:c>
      <x:c r="B154" t="s">
        <x:v>331</x:v>
      </x:c>
      <x:c r="C154" t="s">
        <x:v>345</x:v>
      </x:c>
      <x:c r="D154" t="s">
        <x:v>78</x:v>
      </x:c>
      <x:c r="E154" t="s">
        <x:v>455</x:v>
      </x:c>
      <x:c r="F154" t="s">
        <x:v>132</x:v>
      </x:c>
    </x:row>
    <x:row r="155" spans="1:6">
      <x:c r="A155" s="18">
        <x:v>14</x:v>
      </x:c>
      <x:c r="B155" t="s">
        <x:v>331</x:v>
      </x:c>
      <x:c r="C155" t="s">
        <x:v>175</x:v>
      </x:c>
      <x:c r="D155" t="s">
        <x:v>78</x:v>
      </x:c>
      <x:c r="E155" t="s">
        <x:v>455</x:v>
      </x:c>
      <x:c r="F155" t="s">
        <x:v>132</x:v>
      </x:c>
    </x:row>
    <x:row r="156" spans="1:6">
      <x:c r="A156" s="18">
        <x:v>15</x:v>
      </x:c>
      <x:c r="B156" t="s">
        <x:v>331</x:v>
      </x:c>
      <x:c r="C156" t="s">
        <x:v>352</x:v>
      </x:c>
      <x:c r="D156" t="s">
        <x:v>78</x:v>
      </x:c>
      <x:c r="E156" t="s">
        <x:v>455</x:v>
      </x:c>
      <x:c r="F156" t="s">
        <x:v>132</x:v>
      </x:c>
    </x:row>
    <x:row r="157" spans="1:6">
      <x:c r="A157" s="18">
        <x:v>16</x:v>
      </x:c>
      <x:c r="B157" t="s">
        <x:v>331</x:v>
      </x:c>
      <x:c r="C157" t="s">
        <x:v>493</x:v>
      </x:c>
      <x:c r="D157" t="s">
        <x:v>78</x:v>
      </x:c>
      <x:c r="E157" t="s">
        <x:v>455</x:v>
      </x:c>
      <x:c r="F157" t="s">
        <x:v>132</x:v>
      </x:c>
    </x:row>
    <x:row r="158" spans="1:6">
      <x:c r="A158" s="18">
        <x:v>17</x:v>
      </x:c>
      <x:c r="B158" t="s">
        <x:v>331</x:v>
      </x:c>
      <x:c r="C158" t="s">
        <x:v>191</x:v>
      </x:c>
      <x:c r="D158" t="s">
        <x:v>78</x:v>
      </x:c>
      <x:c r="E158" t="s">
        <x:v>455</x:v>
      </x:c>
      <x:c r="F158" t="s">
        <x:v>132</x:v>
      </x:c>
    </x:row>
    <x:row r="159" spans="1:6">
      <x:c r="A159" s="18">
        <x:v>18</x:v>
      </x:c>
      <x:c r="B159" t="s">
        <x:v>331</x:v>
      </x:c>
      <x:c r="C159" t="s">
        <x:v>44</x:v>
      </x:c>
      <x:c r="D159" t="s">
        <x:v>78</x:v>
      </x:c>
      <x:c r="E159" t="s">
        <x:v>455</x:v>
      </x:c>
      <x:c r="F159" t="s">
        <x:v>132</x:v>
      </x:c>
    </x:row>
    <x:row r="160" spans="1:6">
      <x:c r="A160" s="18">
        <x:v>19</x:v>
      </x:c>
      <x:c r="B160" t="s">
        <x:v>331</x:v>
      </x:c>
      <x:c r="C160" t="s">
        <x:v>348</x:v>
      </x:c>
      <x:c r="D160" t="s">
        <x:v>78</x:v>
      </x:c>
      <x:c r="E160" t="s">
        <x:v>455</x:v>
      </x:c>
      <x:c r="F160" t="s">
        <x:v>132</x:v>
      </x:c>
    </x:row>
    <x:row r="161" spans="1:6">
      <x:c r="A161" s="18">
        <x:v>20</x:v>
      </x:c>
      <x:c r="B161" t="s">
        <x:v>331</x:v>
      </x:c>
      <x:c r="C161" t="s">
        <x:v>350</x:v>
      </x:c>
      <x:c r="D161" t="s">
        <x:v>78</x:v>
      </x:c>
      <x:c r="E161" t="s">
        <x:v>455</x:v>
      </x:c>
      <x:c r="F161" t="s">
        <x:v>132</x:v>
      </x:c>
    </x:row>
    <x:row r="162" spans="1:6">
      <x:c r="A162" s="18">
        <x:v>21</x:v>
      </x:c>
      <x:c r="B162" t="s">
        <x:v>331</x:v>
      </x:c>
      <x:c r="C162" t="s">
        <x:v>336</x:v>
      </x:c>
      <x:c r="D162" t="s">
        <x:v>78</x:v>
      </x:c>
      <x:c r="E162" t="s">
        <x:v>455</x:v>
      </x:c>
      <x:c r="F162" t="s">
        <x:v>132</x:v>
      </x:c>
    </x:row>
    <x:row r="163" spans="1:6">
      <x:c r="A163" s="18">
        <x:v>22</x:v>
      </x:c>
      <x:c r="B163" t="s">
        <x:v>331</x:v>
      </x:c>
      <x:c r="C163" t="s">
        <x:v>179</x:v>
      </x:c>
      <x:c r="D163" t="s">
        <x:v>78</x:v>
      </x:c>
      <x:c r="E163" t="s">
        <x:v>455</x:v>
      </x:c>
      <x:c r="F163" t="s">
        <x:v>132</x:v>
      </x:c>
    </x:row>
    <x:row r="164" spans="1:6">
      <x:c r="A164" s="18">
        <x:v>23</x:v>
      </x:c>
      <x:c r="B164" t="s">
        <x:v>331</x:v>
      </x:c>
      <x:c r="C164" t="s">
        <x:v>57</x:v>
      </x:c>
      <x:c r="D164" t="s">
        <x:v>78</x:v>
      </x:c>
      <x:c r="E164" t="s">
        <x:v>455</x:v>
      </x:c>
      <x:c r="F164" t="s">
        <x:v>132</x:v>
      </x:c>
    </x:row>
    <x:row r="165" spans="1:6">
      <x:c r="A165" s="18">
        <x:v>24</x:v>
      </x:c>
      <x:c r="B165" t="s">
        <x:v>331</x:v>
      </x:c>
      <x:c r="C165" t="s">
        <x:v>47</x:v>
      </x:c>
      <x:c r="D165" t="s">
        <x:v>78</x:v>
      </x:c>
      <x:c r="E165" t="s">
        <x:v>455</x:v>
      </x:c>
      <x:c r="F165" t="s">
        <x:v>132</x:v>
      </x:c>
    </x:row>
    <x:row r="166" spans="1:6">
      <x:c r="A166" s="18">
        <x:v>25</x:v>
      </x:c>
      <x:c r="B166" t="s">
        <x:v>331</x:v>
      </x:c>
      <x:c r="C166" t="s">
        <x:v>323</x:v>
      </x:c>
      <x:c r="D166" t="s">
        <x:v>78</x:v>
      </x:c>
      <x:c r="E166" t="s">
        <x:v>455</x:v>
      </x:c>
      <x:c r="F166" t="s">
        <x:v>132</x:v>
      </x:c>
    </x:row>
    <x:row r="167" spans="1:6">
      <x:c r="A167" s="18">
        <x:v>26</x:v>
      </x:c>
      <x:c r="B167" t="s">
        <x:v>331</x:v>
      </x:c>
      <x:c r="C167" t="s">
        <x:v>334</x:v>
      </x:c>
      <x:c r="D167" t="s">
        <x:v>78</x:v>
      </x:c>
      <x:c r="E167" t="s">
        <x:v>455</x:v>
      </x:c>
      <x:c r="F167" t="s">
        <x:v>132</x:v>
      </x:c>
    </x:row>
    <x:row r="168" spans="1:6">
      <x:c r="A168" s="18">
        <x:v>27</x:v>
      </x:c>
      <x:c r="B168" t="s">
        <x:v>331</x:v>
      </x:c>
      <x:c r="C168" t="s">
        <x:v>166</x:v>
      </x:c>
      <x:c r="D168" t="s">
        <x:v>78</x:v>
      </x:c>
      <x:c r="E168" t="s">
        <x:v>455</x:v>
      </x:c>
      <x:c r="F168" t="s">
        <x:v>132</x:v>
      </x:c>
    </x:row>
    <x:row r="169" spans="1:6">
      <x:c r="A169" s="18">
        <x:v>28</x:v>
      </x:c>
      <x:c r="B169" t="s">
        <x:v>331</x:v>
      </x:c>
      <x:c r="C169" t="s">
        <x:v>48</x:v>
      </x:c>
      <x:c r="D169" t="s">
        <x:v>78</x:v>
      </x:c>
      <x:c r="E169" t="s">
        <x:v>455</x:v>
      </x:c>
      <x:c r="F169" t="s">
        <x:v>132</x:v>
      </x:c>
    </x:row>
    <x:row r="170" spans="1:6">
      <x:c r="A170" s="18">
        <x:v>29</x:v>
      </x:c>
      <x:c r="B170" t="s">
        <x:v>331</x:v>
      </x:c>
      <x:c r="C170" t="s">
        <x:v>192</x:v>
      </x:c>
      <x:c r="D170" t="s">
        <x:v>78</x:v>
      </x:c>
      <x:c r="E170" t="s">
        <x:v>455</x:v>
      </x:c>
      <x:c r="F170" t="s">
        <x:v>132</x:v>
      </x:c>
    </x:row>
    <x:row r="171" spans="1:6">
      <x:c r="A171" s="18">
        <x:v>30</x:v>
      </x:c>
      <x:c r="B171" t="s">
        <x:v>331</x:v>
      </x:c>
      <x:c r="C171" t="s">
        <x:v>167</x:v>
      </x:c>
      <x:c r="D171" t="s">
        <x:v>78</x:v>
      </x:c>
      <x:c r="E171" t="s">
        <x:v>455</x:v>
      </x:c>
      <x:c r="F171" t="s">
        <x:v>132</x:v>
      </x:c>
    </x:row>
    <x:row r="172" spans="1:6">
      <x:c r="A172" s="18">
        <x:v>31</x:v>
      </x:c>
      <x:c r="B172" t="s">
        <x:v>331</x:v>
      </x:c>
      <x:c r="C172" t="s">
        <x:v>330</x:v>
      </x:c>
      <x:c r="D172" t="s">
        <x:v>78</x:v>
      </x:c>
      <x:c r="E172" t="s">
        <x:v>455</x:v>
      </x:c>
      <x:c r="F172" t="s">
        <x:v>132</x:v>
      </x:c>
    </x:row>
    <x:row r="173" spans="1:6">
      <x:c r="A173" s="18">
        <x:v>32</x:v>
      </x:c>
      <x:c r="B173" t="s">
        <x:v>331</x:v>
      </x:c>
      <x:c r="C173" t="s">
        <x:v>169</x:v>
      </x:c>
      <x:c r="D173" t="s">
        <x:v>78</x:v>
      </x:c>
      <x:c r="E173" t="s">
        <x:v>455</x:v>
      </x:c>
      <x:c r="F173" t="s">
        <x:v>132</x:v>
      </x:c>
    </x:row>
    <x:row r="174" spans="1:6">
      <x:c r="A174" s="18">
        <x:v>33</x:v>
      </x:c>
      <x:c r="B174" t="s">
        <x:v>331</x:v>
      </x:c>
      <x:c r="C174" t="s">
        <x:v>328</x:v>
      </x:c>
      <x:c r="D174" t="s">
        <x:v>78</x:v>
      </x:c>
      <x:c r="E174" t="s">
        <x:v>455</x:v>
      </x:c>
      <x:c r="F174" t="s">
        <x:v>132</x:v>
      </x:c>
    </x:row>
    <x:row r="175" spans="1:6">
      <x:c r="A175" s="18">
        <x:v>34</x:v>
      </x:c>
      <x:c r="B175" t="s">
        <x:v>331</x:v>
      </x:c>
      <x:c r="C175" t="s">
        <x:v>494</x:v>
      </x:c>
      <x:c r="D175" t="s">
        <x:v>78</x:v>
      </x:c>
      <x:c r="E175" t="s">
        <x:v>455</x:v>
      </x:c>
      <x:c r="F175" t="s">
        <x:v>132</x:v>
      </x:c>
    </x:row>
    <x:row r="176" spans="1:6">
      <x:c r="A176" s="18">
        <x:v>35</x:v>
      </x:c>
      <x:c r="B176" t="s">
        <x:v>331</x:v>
      </x:c>
      <x:c r="C176" t="s">
        <x:v>351</x:v>
      </x:c>
      <x:c r="D176" t="s">
        <x:v>78</x:v>
      </x:c>
      <x:c r="E176" t="s">
        <x:v>455</x:v>
      </x:c>
      <x:c r="F176" t="s">
        <x:v>132</x:v>
      </x:c>
    </x:row>
    <x:row r="177" spans="1:6">
      <x:c r="A177" s="18">
        <x:v>36</x:v>
      </x:c>
      <x:c r="B177" t="s">
        <x:v>331</x:v>
      </x:c>
      <x:c r="C177" t="s">
        <x:v>496</x:v>
      </x:c>
      <x:c r="D177" t="s">
        <x:v>78</x:v>
      </x:c>
      <x:c r="E177" t="s">
        <x:v>455</x:v>
      </x:c>
      <x:c r="F177" t="s">
        <x:v>132</x:v>
      </x:c>
    </x:row>
    <x:row r="178" spans="1:6">
      <x:c r="A178" s="18">
        <x:v>37</x:v>
      </x:c>
      <x:c r="B178" t="s">
        <x:v>331</x:v>
      </x:c>
      <x:c r="C178" t="s">
        <x:v>497</x:v>
      </x:c>
      <x:c r="D178" t="s">
        <x:v>78</x:v>
      </x:c>
      <x:c r="E178" t="s">
        <x:v>455</x:v>
      </x:c>
      <x:c r="F178" t="s">
        <x:v>132</x:v>
      </x:c>
    </x:row>
    <x:row r="179" spans="1:6">
      <x:c r="A179" s="18">
        <x:v>38</x:v>
      </x:c>
      <x:c r="B179" t="s">
        <x:v>331</x:v>
      </x:c>
      <x:c r="C179" t="s">
        <x:v>495</x:v>
      </x:c>
      <x:c r="D179" t="s">
        <x:v>78</x:v>
      </x:c>
      <x:c r="E179" t="s">
        <x:v>455</x:v>
      </x:c>
      <x:c r="F179" t="s">
        <x:v>132</x:v>
      </x:c>
    </x:row>
    <x:row r="180" spans="1:6">
      <x:c r="A180" s="18">
        <x:v>39</x:v>
      </x:c>
      <x:c r="B180" t="s">
        <x:v>331</x:v>
      </x:c>
      <x:c r="C180" t="s">
        <x:v>326</x:v>
      </x:c>
      <x:c r="D180" t="s">
        <x:v>78</x:v>
      </x:c>
      <x:c r="E180" t="s">
        <x:v>455</x:v>
      </x:c>
      <x:c r="F180" t="s">
        <x:v>132</x:v>
      </x:c>
    </x:row>
    <x:row r="181" spans="1:6">
      <x:c r="A181" s="18">
        <x:v>40</x:v>
      </x:c>
      <x:c r="B181" t="s">
        <x:v>331</x:v>
      </x:c>
      <x:c r="C181" t="s">
        <x:v>498</x:v>
      </x:c>
      <x:c r="D181" t="s">
        <x:v>78</x:v>
      </x:c>
      <x:c r="E181" t="s">
        <x:v>455</x:v>
      </x:c>
      <x:c r="F181" t="s">
        <x:v>132</x:v>
      </x:c>
    </x:row>
    <x:row r="182" spans="1:6">
      <x:c r="A182" s="18">
        <x:v>1</x:v>
      </x:c>
      <x:c r="B182" t="s">
        <x:v>170</x:v>
      </x:c>
      <x:c r="C182" t="s">
        <x:v>49</x:v>
      </x:c>
      <x:c r="D182" t="s">
        <x:v>78</x:v>
      </x:c>
      <x:c r="E182" t="s">
        <x:v>455</x:v>
      </x:c>
      <x:c r="F182" t="s">
        <x:v>132</x:v>
      </x:c>
    </x:row>
    <x:row r="183" spans="1:6">
      <x:c r="A183" s="18">
        <x:v>2</x:v>
      </x:c>
      <x:c r="B183" t="s">
        <x:v>170</x:v>
      </x:c>
      <x:c r="C183" t="s">
        <x:v>66</x:v>
      </x:c>
      <x:c r="D183" t="s">
        <x:v>78</x:v>
      </x:c>
      <x:c r="E183" t="s">
        <x:v>455</x:v>
      </x:c>
      <x:c r="F183" t="s">
        <x:v>132</x:v>
      </x:c>
    </x:row>
    <x:row r="184" spans="1:6">
      <x:c r="A184" s="18">
        <x:v>3</x:v>
      </x:c>
      <x:c r="B184" t="s">
        <x:v>170</x:v>
      </x:c>
      <x:c r="C184" t="s">
        <x:v>171</x:v>
      </x:c>
      <x:c r="D184" t="s">
        <x:v>78</x:v>
      </x:c>
      <x:c r="E184" t="s">
        <x:v>455</x:v>
      </x:c>
      <x:c r="F184" t="s">
        <x:v>132</x:v>
      </x:c>
    </x:row>
    <x:row r="185" spans="1:6">
      <x:c r="A185" s="18">
        <x:v>4</x:v>
      </x:c>
      <x:c r="B185" t="s">
        <x:v>170</x:v>
      </x:c>
      <x:c r="C185" t="s">
        <x:v>70</x:v>
      </x:c>
      <x:c r="D185" t="s">
        <x:v>78</x:v>
      </x:c>
      <x:c r="E185" t="s">
        <x:v>455</x:v>
      </x:c>
      <x:c r="F185" t="s">
        <x:v>132</x:v>
      </x:c>
    </x:row>
    <x:row r="186" spans="1:6">
      <x:c r="A186" s="18">
        <x:v>5</x:v>
      </x:c>
      <x:c r="B186" t="s">
        <x:v>170</x:v>
      </x:c>
      <x:c r="C186" t="s">
        <x:v>105</x:v>
      </x:c>
      <x:c r="D186" t="s">
        <x:v>78</x:v>
      </x:c>
      <x:c r="E186" t="s">
        <x:v>455</x:v>
      </x:c>
      <x:c r="F186" t="s">
        <x:v>132</x:v>
      </x:c>
    </x:row>
    <x:row r="187" spans="1:6">
      <x:c r="A187" s="18">
        <x:v>6</x:v>
      </x:c>
      <x:c r="B187" t="s">
        <x:v>170</x:v>
      </x:c>
      <x:c r="C187" t="s">
        <x:v>180</x:v>
      </x:c>
      <x:c r="D187" t="s">
        <x:v>78</x:v>
      </x:c>
      <x:c r="E187" t="s">
        <x:v>455</x:v>
      </x:c>
      <x:c r="F187" t="s">
        <x:v>132</x:v>
      </x:c>
    </x:row>
    <x:row r="188" spans="1:6">
      <x:c r="A188" s="18">
        <x:v>7</x:v>
      </x:c>
      <x:c r="B188" t="s">
        <x:v>170</x:v>
      </x:c>
      <x:c r="C188" t="s">
        <x:v>67</x:v>
      </x:c>
      <x:c r="D188" t="s">
        <x:v>78</x:v>
      </x:c>
      <x:c r="E188" t="s">
        <x:v>455</x:v>
      </x:c>
      <x:c r="F188" t="s">
        <x:v>132</x:v>
      </x:c>
    </x:row>
    <x:row r="189" spans="1:6">
      <x:c r="A189" s="18">
        <x:v>8</x:v>
      </x:c>
      <x:c r="B189" t="s">
        <x:v>170</x:v>
      </x:c>
      <x:c r="C189" t="s">
        <x:v>107</x:v>
      </x:c>
      <x:c r="D189" t="s">
        <x:v>78</x:v>
      </x:c>
      <x:c r="E189" t="s">
        <x:v>455</x:v>
      </x:c>
      <x:c r="F189" t="s">
        <x:v>132</x:v>
      </x:c>
    </x:row>
    <x:row r="190" spans="1:6">
      <x:c r="A190" s="18">
        <x:v>9</x:v>
      </x:c>
      <x:c r="B190" t="s">
        <x:v>170</x:v>
      </x:c>
      <x:c r="C190" t="s">
        <x:v>122</x:v>
      </x:c>
      <x:c r="D190" t="s">
        <x:v>78</x:v>
      </x:c>
      <x:c r="E190" t="s">
        <x:v>455</x:v>
      </x:c>
      <x:c r="F190" t="s">
        <x:v>132</x:v>
      </x:c>
    </x:row>
    <x:row r="191" spans="1:6">
      <x:c r="A191" s="18">
        <x:v>10</x:v>
      </x:c>
      <x:c r="B191" t="s">
        <x:v>170</x:v>
      </x:c>
      <x:c r="C191" t="s">
        <x:v>69</x:v>
      </x:c>
      <x:c r="D191" t="s">
        <x:v>78</x:v>
      </x:c>
      <x:c r="E191" t="s">
        <x:v>455</x:v>
      </x:c>
      <x:c r="F191" t="s">
        <x:v>132</x:v>
      </x:c>
    </x:row>
    <x:row r="192" spans="1:6">
      <x:c r="A192" s="18">
        <x:v>11</x:v>
      </x:c>
      <x:c r="B192" t="s">
        <x:v>170</x:v>
      </x:c>
      <x:c r="C192" t="s">
        <x:v>51</x:v>
      </x:c>
      <x:c r="D192" t="s">
        <x:v>78</x:v>
      </x:c>
      <x:c r="E192" t="s">
        <x:v>455</x:v>
      </x:c>
      <x:c r="F192" t="s">
        <x:v>132</x:v>
      </x:c>
    </x:row>
    <x:row r="193" spans="1:6">
      <x:c r="A193" s="18">
        <x:v>12</x:v>
      </x:c>
      <x:c r="B193" t="s">
        <x:v>170</x:v>
      </x:c>
      <x:c r="C193" t="s">
        <x:v>480</x:v>
      </x:c>
      <x:c r="D193" t="s">
        <x:v>78</x:v>
      </x:c>
      <x:c r="E193" t="s">
        <x:v>455</x:v>
      </x:c>
      <x:c r="F193" t="s">
        <x:v>132</x:v>
      </x:c>
    </x:row>
    <x:row r="194" spans="1:6">
      <x:c r="A194" s="18">
        <x:v>13</x:v>
      </x:c>
      <x:c r="B194" t="s">
        <x:v>170</x:v>
      </x:c>
      <x:c r="C194" t="s">
        <x:v>477</x:v>
      </x:c>
      <x:c r="D194" t="s">
        <x:v>78</x:v>
      </x:c>
      <x:c r="E194" t="s">
        <x:v>455</x:v>
      </x:c>
      <x:c r="F194" t="s">
        <x:v>132</x:v>
      </x:c>
    </x:row>
    <x:row r="195" spans="1:6">
      <x:c r="A195" s="18">
        <x:v>14</x:v>
      </x:c>
      <x:c r="B195" t="s">
        <x:v>170</x:v>
      </x:c>
      <x:c r="C195" t="s">
        <x:v>172</x:v>
      </x:c>
      <x:c r="D195" t="s">
        <x:v>78</x:v>
      </x:c>
      <x:c r="E195" t="s">
        <x:v>455</x:v>
      </x:c>
      <x:c r="F195" t="s">
        <x:v>132</x:v>
      </x:c>
    </x:row>
    <x:row r="196" spans="1:6">
      <x:c r="A196" s="18">
        <x:v>15</x:v>
      </x:c>
      <x:c r="B196" t="s">
        <x:v>170</x:v>
      </x:c>
      <x:c r="C196" t="s">
        <x:v>174</x:v>
      </x:c>
      <x:c r="D196" t="s">
        <x:v>78</x:v>
      </x:c>
      <x:c r="E196" t="s">
        <x:v>455</x:v>
      </x:c>
      <x:c r="F196" t="s">
        <x:v>132</x:v>
      </x:c>
    </x:row>
    <x:row r="197" spans="1:6">
      <x:c r="A197" s="18">
        <x:v>16</x:v>
      </x:c>
      <x:c r="B197" t="s">
        <x:v>170</x:v>
      </x:c>
      <x:c r="C197" t="s">
        <x:v>479</x:v>
      </x:c>
      <x:c r="D197" t="s">
        <x:v>78</x:v>
      </x:c>
      <x:c r="E197" t="s">
        <x:v>455</x:v>
      </x:c>
      <x:c r="F197" t="s">
        <x:v>132</x:v>
      </x:c>
    </x:row>
    <x:row r="198" spans="1:6">
      <x:c r="A198" s="18">
        <x:v>17</x:v>
      </x:c>
      <x:c r="B198" t="s">
        <x:v>170</x:v>
      </x:c>
      <x:c r="C198" t="s">
        <x:v>106</x:v>
      </x:c>
      <x:c r="D198" t="s">
        <x:v>78</x:v>
      </x:c>
      <x:c r="E198" t="s">
        <x:v>455</x:v>
      </x:c>
      <x:c r="F198" t="s">
        <x:v>132</x:v>
      </x:c>
    </x:row>
    <x:row r="199" spans="1:6">
      <x:c r="A199" s="18">
        <x:v>18</x:v>
      </x:c>
      <x:c r="B199" t="s">
        <x:v>170</x:v>
      </x:c>
      <x:c r="C199" t="s">
        <x:v>341</x:v>
      </x:c>
      <x:c r="D199" t="s">
        <x:v>78</x:v>
      </x:c>
      <x:c r="E199" t="s">
        <x:v>455</x:v>
      </x:c>
      <x:c r="F199" t="s">
        <x:v>132</x:v>
      </x:c>
    </x:row>
    <x:row r="200" spans="1:6">
      <x:c r="A200" s="18">
        <x:v>19</x:v>
      </x:c>
      <x:c r="B200" t="s">
        <x:v>170</x:v>
      </x:c>
      <x:c r="C200" t="s">
        <x:v>176</x:v>
      </x:c>
      <x:c r="D200" t="s">
        <x:v>78</x:v>
      </x:c>
      <x:c r="E200" t="s">
        <x:v>455</x:v>
      </x:c>
      <x:c r="F200" t="s">
        <x:v>132</x:v>
      </x:c>
    </x:row>
    <x:row r="201" spans="1:6">
      <x:c r="A201" s="18">
        <x:v>20</x:v>
      </x:c>
      <x:c r="B201" t="s">
        <x:v>170</x:v>
      </x:c>
      <x:c r="C201" t="s">
        <x:v>3</x:v>
      </x:c>
      <x:c r="D201" t="s">
        <x:v>78</x:v>
      </x:c>
      <x:c r="E201" t="s">
        <x:v>455</x:v>
      </x:c>
      <x:c r="F201" t="s">
        <x:v>132</x:v>
      </x:c>
    </x:row>
    <x:row r="202" spans="1:6">
      <x:c r="A202" s="18">
        <x:v>21</x:v>
      </x:c>
      <x:c r="B202" t="s">
        <x:v>170</x:v>
      </x:c>
      <x:c r="C202" t="s">
        <x:v>4</x:v>
      </x:c>
      <x:c r="D202" t="s">
        <x:v>78</x:v>
      </x:c>
      <x:c r="E202" t="s">
        <x:v>455</x:v>
      </x:c>
      <x:c r="F202" t="s">
        <x:v>132</x:v>
      </x:c>
    </x:row>
    <x:row r="203" spans="1:6">
      <x:c r="A203" s="18">
        <x:v>22</x:v>
      </x:c>
      <x:c r="B203" t="s">
        <x:v>170</x:v>
      </x:c>
      <x:c r="C203" t="s">
        <x:v>478</x:v>
      </x:c>
      <x:c r="D203" t="s">
        <x:v>78</x:v>
      </x:c>
      <x:c r="E203" t="s">
        <x:v>455</x:v>
      </x:c>
      <x:c r="F203" t="s">
        <x:v>132</x:v>
      </x:c>
    </x:row>
    <x:row r="204" spans="1:6">
      <x:c r="A204" s="18">
        <x:v>23</x:v>
      </x:c>
      <x:c r="B204" t="s">
        <x:v>170</x:v>
      </x:c>
      <x:c r="C204" t="s">
        <x:v>211</x:v>
      </x:c>
      <x:c r="D204" t="s">
        <x:v>78</x:v>
      </x:c>
      <x:c r="E204" t="s">
        <x:v>455</x:v>
      </x:c>
      <x:c r="F204" t="s">
        <x:v>132</x:v>
      </x:c>
    </x:row>
    <x:row r="205" spans="1:6">
      <x:c r="A205" s="18">
        <x:v>24</x:v>
      </x:c>
      <x:c r="B205" t="s">
        <x:v>170</x:v>
      </x:c>
      <x:c r="C205" t="s">
        <x:v>5</x:v>
      </x:c>
      <x:c r="D205" t="s">
        <x:v>78</x:v>
      </x:c>
      <x:c r="E205" t="s">
        <x:v>455</x:v>
      </x:c>
      <x:c r="F205" t="s">
        <x:v>132</x:v>
      </x:c>
    </x:row>
    <x:row r="206" spans="1:6">
      <x:c r="A206" s="18">
        <x:v>25</x:v>
      </x:c>
      <x:c r="B206" t="s">
        <x:v>170</x:v>
      </x:c>
      <x:c r="C206" t="s">
        <x:v>482</x:v>
      </x:c>
      <x:c r="D206" t="s">
        <x:v>78</x:v>
      </x:c>
      <x:c r="E206" t="s">
        <x:v>455</x:v>
      </x:c>
      <x:c r="F206" t="s">
        <x:v>132</x:v>
      </x:c>
    </x:row>
    <x:row r="207" spans="1:6">
      <x:c r="A207" s="18">
        <x:v>26</x:v>
      </x:c>
      <x:c r="B207" t="s">
        <x:v>170</x:v>
      </x:c>
      <x:c r="C207" t="s">
        <x:v>481</x:v>
      </x:c>
      <x:c r="D207" t="s">
        <x:v>78</x:v>
      </x:c>
      <x:c r="E207" t="s">
        <x:v>455</x:v>
      </x:c>
      <x:c r="F207" t="s">
        <x:v>132</x:v>
      </x:c>
    </x:row>
    <x:row r="208" spans="1:6">
      <x:c r="A208" s="18">
        <x:v>27</x:v>
      </x:c>
      <x:c r="B208" t="s">
        <x:v>170</x:v>
      </x:c>
      <x:c r="C208" t="s">
        <x:v>221</x:v>
      </x:c>
      <x:c r="D208" t="s">
        <x:v>78</x:v>
      </x:c>
      <x:c r="E208" t="s">
        <x:v>455</x:v>
      </x:c>
      <x:c r="F208" t="s">
        <x:v>132</x:v>
      </x:c>
    </x:row>
    <x:row r="209" spans="1:6">
      <x:c r="A209" s="18">
        <x:v>28</x:v>
      </x:c>
      <x:c r="B209" t="s">
        <x:v>170</x:v>
      </x:c>
      <x:c r="C209" t="s">
        <x:v>109</x:v>
      </x:c>
      <x:c r="D209" t="s">
        <x:v>78</x:v>
      </x:c>
      <x:c r="E209" t="s">
        <x:v>455</x:v>
      </x:c>
      <x:c r="F209" t="s">
        <x:v>132</x:v>
      </x:c>
    </x:row>
    <x:row r="210" spans="1:6">
      <x:c r="A210" s="18">
        <x:v>29</x:v>
      </x:c>
      <x:c r="B210" t="s">
        <x:v>170</x:v>
      </x:c>
      <x:c r="C210" t="s">
        <x:v>6</x:v>
      </x:c>
      <x:c r="D210" t="s">
        <x:v>78</x:v>
      </x:c>
      <x:c r="E210" t="s">
        <x:v>455</x:v>
      </x:c>
      <x:c r="F210" t="s">
        <x:v>132</x:v>
      </x:c>
    </x:row>
    <x:row r="211" spans="1:6">
      <x:c r="A211" s="18">
        <x:v>30</x:v>
      </x:c>
      <x:c r="B211" t="s">
        <x:v>170</x:v>
      </x:c>
      <x:c r="C211" t="s">
        <x:v>108</x:v>
      </x:c>
      <x:c r="D211" t="s">
        <x:v>78</x:v>
      </x:c>
      <x:c r="E211" t="s">
        <x:v>455</x:v>
      </x:c>
      <x:c r="F211" t="s">
        <x:v>132</x:v>
      </x:c>
    </x:row>
    <x:row r="212" spans="1:6">
      <x:c r="A212" s="18">
        <x:v>1</x:v>
      </x:c>
      <x:c r="B212" t="s">
        <x:v>2</x:v>
      </x:c>
      <x:c r="C212" t="s">
        <x:v>499</x:v>
      </x:c>
      <x:c r="D212" t="s">
        <x:v>78</x:v>
      </x:c>
      <x:c r="E212" t="s">
        <x:v>455</x:v>
      </x:c>
      <x:c r="F212" t="s">
        <x:v>132</x:v>
      </x:c>
    </x:row>
    <x:row r="213" spans="1:6">
      <x:c r="A213" s="18">
        <x:v>2</x:v>
      </x:c>
      <x:c r="B213" t="s">
        <x:v>2</x:v>
      </x:c>
      <x:c r="C213" t="s">
        <x:v>338</x:v>
      </x:c>
      <x:c r="D213" t="s">
        <x:v>78</x:v>
      </x:c>
      <x:c r="E213" t="s">
        <x:v>455</x:v>
      </x:c>
      <x:c r="F213" t="s">
        <x:v>132</x:v>
      </x:c>
    </x:row>
    <x:row r="214" spans="1:6">
      <x:c r="A214" s="18">
        <x:v>3</x:v>
      </x:c>
      <x:c r="B214" t="s">
        <x:v>2</x:v>
      </x:c>
      <x:c r="C214" t="s">
        <x:v>337</x:v>
      </x:c>
      <x:c r="D214" t="s">
        <x:v>78</x:v>
      </x:c>
      <x:c r="E214" t="s">
        <x:v>455</x:v>
      </x:c>
      <x:c r="F214" t="s">
        <x:v>132</x:v>
      </x:c>
    </x:row>
    <x:row r="215" spans="1:6">
      <x:c r="A215" s="18">
        <x:v>4</x:v>
      </x:c>
      <x:c r="B215" t="s">
        <x:v>2</x:v>
      </x:c>
      <x:c r="C215" t="s">
        <x:v>327</x:v>
      </x:c>
      <x:c r="D215" t="s">
        <x:v>78</x:v>
      </x:c>
      <x:c r="E215" t="s">
        <x:v>455</x:v>
      </x:c>
      <x:c r="F215" t="s">
        <x:v>132</x:v>
      </x:c>
    </x:row>
    <x:row r="216" spans="1:6">
      <x:c r="A216" s="18">
        <x:v>5</x:v>
      </x:c>
      <x:c r="B216" t="s">
        <x:v>2</x:v>
      </x:c>
      <x:c r="C216" t="s">
        <x:v>225</x:v>
      </x:c>
      <x:c r="D216" t="s">
        <x:v>78</x:v>
      </x:c>
      <x:c r="E216" t="s">
        <x:v>455</x:v>
      </x:c>
      <x:c r="F216" t="s">
        <x:v>132</x:v>
      </x:c>
    </x:row>
    <x:row r="217" spans="1:6">
      <x:c r="A217" s="18">
        <x:v>6</x:v>
      </x:c>
      <x:c r="B217" t="s">
        <x:v>2</x:v>
      </x:c>
      <x:c r="C217" t="s">
        <x:v>339</x:v>
      </x:c>
      <x:c r="D217" t="s">
        <x:v>78</x:v>
      </x:c>
      <x:c r="E217" t="s">
        <x:v>455</x:v>
      </x:c>
      <x:c r="F217" t="s">
        <x:v>132</x:v>
      </x:c>
    </x:row>
    <x:row r="218" spans="1:6">
      <x:c r="A218" s="18">
        <x:v>7</x:v>
      </x:c>
      <x:c r="B218" t="s">
        <x:v>2</x:v>
      </x:c>
      <x:c r="C218" t="s">
        <x:v>200</x:v>
      </x:c>
      <x:c r="D218" t="s">
        <x:v>78</x:v>
      </x:c>
      <x:c r="E218" t="s">
        <x:v>455</x:v>
      </x:c>
      <x:c r="F218" t="s">
        <x:v>132</x:v>
      </x:c>
    </x:row>
    <x:row r="219" spans="1:6">
      <x:c r="A219" s="18">
        <x:v>8</x:v>
      </x:c>
      <x:c r="B219" t="s">
        <x:v>2</x:v>
      </x:c>
      <x:c r="C219" t="s">
        <x:v>484</x:v>
      </x:c>
      <x:c r="D219" t="s">
        <x:v>78</x:v>
      </x:c>
      <x:c r="E219" t="s">
        <x:v>455</x:v>
      </x:c>
      <x:c r="F219" t="s">
        <x:v>132</x:v>
      </x:c>
    </x:row>
    <x:row r="220" spans="1:6">
      <x:c r="A220" s="18">
        <x:v>9</x:v>
      </x:c>
      <x:c r="B220" t="s">
        <x:v>2</x:v>
      </x:c>
      <x:c r="C220" t="s">
        <x:v>201</x:v>
      </x:c>
      <x:c r="D220" t="s">
        <x:v>78</x:v>
      </x:c>
      <x:c r="E220" t="s">
        <x:v>455</x:v>
      </x:c>
      <x:c r="F220" t="s">
        <x:v>132</x:v>
      </x:c>
    </x:row>
    <x:row r="221" spans="1:6">
      <x:c r="A221" s="18">
        <x:v>10</x:v>
      </x:c>
      <x:c r="B221" t="s">
        <x:v>2</x:v>
      </x:c>
      <x:c r="C221" t="s">
        <x:v>324</x:v>
      </x:c>
      <x:c r="D221" t="s">
        <x:v>78</x:v>
      </x:c>
      <x:c r="E221" t="s">
        <x:v>455</x:v>
      </x:c>
      <x:c r="F221" t="s">
        <x:v>132</x:v>
      </x:c>
    </x:row>
    <x:row r="222" spans="1:6">
      <x:c r="A222" s="18">
        <x:v>11</x:v>
      </x:c>
      <x:c r="B222" t="s">
        <x:v>2</x:v>
      </x:c>
      <x:c r="C222" t="s">
        <x:v>483</x:v>
      </x:c>
      <x:c r="D222" t="s">
        <x:v>78</x:v>
      </x:c>
      <x:c r="E222" t="s">
        <x:v>455</x:v>
      </x:c>
      <x:c r="F222" t="s">
        <x:v>132</x:v>
      </x:c>
    </x:row>
    <x:row r="223" spans="1:6">
      <x:c r="A223" s="18">
        <x:v>12</x:v>
      </x:c>
      <x:c r="B223" t="s">
        <x:v>2</x:v>
      </x:c>
      <x:c r="C223" t="s">
        <x:v>7</x:v>
      </x:c>
      <x:c r="D223" t="s">
        <x:v>78</x:v>
      </x:c>
      <x:c r="E223" t="s">
        <x:v>455</x:v>
      </x:c>
      <x:c r="F223" t="s">
        <x:v>132</x:v>
      </x:c>
    </x:row>
    <x:row r="224" spans="1:6">
      <x:c r="A224" s="18">
        <x:v>13</x:v>
      </x:c>
      <x:c r="B224" t="s">
        <x:v>2</x:v>
      </x:c>
      <x:c r="C224" t="s">
        <x:v>343</x:v>
      </x:c>
      <x:c r="D224" t="s">
        <x:v>78</x:v>
      </x:c>
      <x:c r="E224" t="s">
        <x:v>455</x:v>
      </x:c>
      <x:c r="F224" t="s">
        <x:v>132</x:v>
      </x:c>
    </x:row>
    <x:row r="225" spans="1:6">
      <x:c r="A225" s="18">
        <x:v>14</x:v>
      </x:c>
      <x:c r="B225" t="s">
        <x:v>2</x:v>
      </x:c>
      <x:c r="C225" t="s">
        <x:v>8</x:v>
      </x:c>
      <x:c r="D225" t="s">
        <x:v>78</x:v>
      </x:c>
      <x:c r="E225" t="s">
        <x:v>455</x:v>
      </x:c>
      <x:c r="F225" t="s">
        <x:v>132</x:v>
      </x:c>
    </x:row>
    <x:row r="226" spans="1:6">
      <x:c r="A226" s="18">
        <x:v>15</x:v>
      </x:c>
      <x:c r="B226" t="s">
        <x:v>2</x:v>
      </x:c>
      <x:c r="C226" t="s">
        <x:v>213</x:v>
      </x:c>
      <x:c r="D226" t="s">
        <x:v>78</x:v>
      </x:c>
      <x:c r="E226" t="s">
        <x:v>455</x:v>
      </x:c>
      <x:c r="F226" t="s">
        <x:v>132</x:v>
      </x:c>
    </x:row>
    <x:row r="227" spans="1:6">
      <x:c r="A227" s="18">
        <x:v>16</x:v>
      </x:c>
      <x:c r="B227" t="s">
        <x:v>2</x:v>
      </x:c>
      <x:c r="C227" t="s">
        <x:v>57</x:v>
      </x:c>
      <x:c r="D227" t="s">
        <x:v>78</x:v>
      </x:c>
      <x:c r="E227" t="s">
        <x:v>455</x:v>
      </x:c>
      <x:c r="F227" t="s">
        <x:v>132</x:v>
      </x:c>
    </x:row>
    <x:row r="228" spans="1:6">
      <x:c r="A228" s="18">
        <x:v>17</x:v>
      </x:c>
      <x:c r="B228" t="s">
        <x:v>2</x:v>
      </x:c>
      <x:c r="C228" t="s">
        <x:v>9</x:v>
      </x:c>
      <x:c r="D228" t="s">
        <x:v>78</x:v>
      </x:c>
      <x:c r="E228" t="s">
        <x:v>455</x:v>
      </x:c>
      <x:c r="F228" t="s">
        <x:v>132</x:v>
      </x:c>
    </x:row>
    <x:row r="229" spans="1:6">
      <x:c r="A229" s="18">
        <x:v>18</x:v>
      </x:c>
      <x:c r="B229" t="s">
        <x:v>2</x:v>
      </x:c>
      <x:c r="C229" t="s">
        <x:v>11</x:v>
      </x:c>
      <x:c r="D229" t="s">
        <x:v>78</x:v>
      </x:c>
      <x:c r="E229" t="s">
        <x:v>455</x:v>
      </x:c>
      <x:c r="F229" t="s">
        <x:v>132</x:v>
      </x:c>
    </x:row>
    <x:row r="230" spans="1:6">
      <x:c r="A230" s="18">
        <x:v>19</x:v>
      </x:c>
      <x:c r="B230" t="s">
        <x:v>2</x:v>
      </x:c>
      <x:c r="C230" t="s">
        <x:v>14</x:v>
      </x:c>
      <x:c r="D230" t="s">
        <x:v>78</x:v>
      </x:c>
      <x:c r="E230" t="s">
        <x:v>455</x:v>
      </x:c>
      <x:c r="F230" t="s">
        <x:v>132</x:v>
      </x:c>
    </x:row>
    <x:row r="231" spans="1:6">
      <x:c r="A231" s="18">
        <x:v>20</x:v>
      </x:c>
      <x:c r="B231" t="s">
        <x:v>2</x:v>
      </x:c>
      <x:c r="C231" t="s">
        <x:v>214</x:v>
      </x:c>
      <x:c r="D231" t="s">
        <x:v>78</x:v>
      </x:c>
      <x:c r="E231" t="s">
        <x:v>455</x:v>
      </x:c>
      <x:c r="F231" t="s">
        <x:v>132</x:v>
      </x:c>
    </x:row>
    <x:row r="232" spans="1:6">
      <x:c r="A232" s="18">
        <x:v>21</x:v>
      </x:c>
      <x:c r="B232" t="s">
        <x:v>2</x:v>
      </x:c>
      <x:c r="C232" t="s">
        <x:v>485</x:v>
      </x:c>
      <x:c r="D232" t="s">
        <x:v>78</x:v>
      </x:c>
      <x:c r="E232" t="s">
        <x:v>455</x:v>
      </x:c>
      <x:c r="F232" t="s">
        <x:v>132</x:v>
      </x:c>
    </x:row>
    <x:row r="233" spans="1:6">
      <x:c r="A233" s="18">
        <x:v>22</x:v>
      </x:c>
      <x:c r="B233" t="s">
        <x:v>2</x:v>
      </x:c>
      <x:c r="C233" t="s">
        <x:v>196</x:v>
      </x:c>
      <x:c r="D233" t="s">
        <x:v>78</x:v>
      </x:c>
      <x:c r="E233" t="s">
        <x:v>455</x:v>
      </x:c>
      <x:c r="F233" t="s">
        <x:v>132</x:v>
      </x:c>
    </x:row>
    <x:row r="234" spans="1:6">
      <x:c r="A234" s="18">
        <x:v>23</x:v>
      </x:c>
      <x:c r="B234" t="s">
        <x:v>2</x:v>
      </x:c>
      <x:c r="C234" t="s">
        <x:v>227</x:v>
      </x:c>
      <x:c r="D234" t="s">
        <x:v>78</x:v>
      </x:c>
      <x:c r="E234" t="s">
        <x:v>455</x:v>
      </x:c>
      <x:c r="F234" t="s">
        <x:v>132</x:v>
      </x:c>
    </x:row>
    <x:row r="235" spans="1:6">
      <x:c r="A235" s="18">
        <x:v>24</x:v>
      </x:c>
      <x:c r="B235" t="s">
        <x:v>2</x:v>
      </x:c>
      <x:c r="C235" t="s">
        <x:v>329</x:v>
      </x:c>
      <x:c r="D235" t="s">
        <x:v>78</x:v>
      </x:c>
      <x:c r="E235" t="s">
        <x:v>455</x:v>
      </x:c>
      <x:c r="F235" t="s">
        <x:v>132</x:v>
      </x:c>
    </x:row>
    <x:row r="236" spans="1:6">
      <x:c r="A236" s="18">
        <x:v>25</x:v>
      </x:c>
      <x:c r="B236" t="s">
        <x:v>2</x:v>
      </x:c>
      <x:c r="C236" t="s">
        <x:v>215</x:v>
      </x:c>
      <x:c r="D236" t="s">
        <x:v>78</x:v>
      </x:c>
      <x:c r="E236" t="s">
        <x:v>455</x:v>
      </x:c>
      <x:c r="F236" t="s">
        <x:v>132</x:v>
      </x:c>
    </x:row>
    <x:row r="237" spans="1:6">
      <x:c r="A237" s="18">
        <x:v>26</x:v>
      </x:c>
      <x:c r="B237" t="s">
        <x:v>2</x:v>
      </x:c>
      <x:c r="C237" t="s">
        <x:v>204</x:v>
      </x:c>
      <x:c r="D237" t="s">
        <x:v>78</x:v>
      </x:c>
      <x:c r="E237" t="s">
        <x:v>455</x:v>
      </x:c>
      <x:c r="F237" t="s">
        <x:v>132</x:v>
      </x:c>
    </x:row>
    <x:row r="238" spans="1:6">
      <x:c r="A238" s="18">
        <x:v>27</x:v>
      </x:c>
      <x:c r="B238" t="s">
        <x:v>2</x:v>
      </x:c>
      <x:c r="C238" t="s">
        <x:v>12</x:v>
      </x:c>
      <x:c r="D238" t="s">
        <x:v>78</x:v>
      </x:c>
      <x:c r="E238" t="s">
        <x:v>455</x:v>
      </x:c>
      <x:c r="F238" t="s">
        <x:v>132</x:v>
      </x:c>
    </x:row>
    <x:row r="239" spans="1:6">
      <x:c r="A239" s="18">
        <x:v>28</x:v>
      </x:c>
      <x:c r="B239" t="s">
        <x:v>2</x:v>
      </x:c>
      <x:c r="C239" t="s">
        <x:v>486</x:v>
      </x:c>
      <x:c r="D239" t="s">
        <x:v>78</x:v>
      </x:c>
      <x:c r="E239" t="s">
        <x:v>455</x:v>
      </x:c>
      <x:c r="F239" t="s">
        <x:v>132</x:v>
      </x:c>
    </x:row>
    <x:row r="240" spans="1:6">
      <x:c r="A240" s="18">
        <x:v>29</x:v>
      </x:c>
      <x:c r="B240" t="s">
        <x:v>2</x:v>
      </x:c>
      <x:c r="C240" t="s">
        <x:v>487</x:v>
      </x:c>
      <x:c r="D240" t="s">
        <x:v>78</x:v>
      </x:c>
      <x:c r="E240" t="s">
        <x:v>455</x:v>
      </x:c>
      <x:c r="F240" t="s">
        <x:v>132</x:v>
      </x:c>
    </x:row>
    <x:row r="241" spans="1:6">
      <x:c r="A241" s="18">
        <x:v>30</x:v>
      </x:c>
      <x:c r="B241" t="s">
        <x:v>2</x:v>
      </x:c>
      <x:c r="C241" t="s">
        <x:v>205</x:v>
      </x:c>
      <x:c r="D241" t="s">
        <x:v>78</x:v>
      </x:c>
      <x:c r="E241" t="s">
        <x:v>455</x:v>
      </x:c>
      <x:c r="F241" t="s">
        <x:v>132</x:v>
      </x:c>
    </x:row>
    <x:row r="242" spans="1:6">
      <x:c r="A242" s="18">
        <x:v>31</x:v>
      </x:c>
      <x:c r="B242" t="s">
        <x:v>1</x:v>
      </x:c>
      <x:c r="C242" t="s">
        <x:v>219</x:v>
      </x:c>
      <x:c r="D242" t="s">
        <x:v>78</x:v>
      </x:c>
      <x:c r="E242" t="s">
        <x:v>455</x:v>
      </x:c>
      <x:c r="F242" t="s">
        <x:v>132</x:v>
      </x:c>
    </x:row>
    <x:row r="243" spans="1:6">
      <x:c r="A243" s="18">
        <x:v>32</x:v>
      </x:c>
      <x:c r="B243" t="s">
        <x:v>1</x:v>
      </x:c>
      <x:c r="C243" t="s">
        <x:v>13</x:v>
      </x:c>
      <x:c r="D243" t="s">
        <x:v>78</x:v>
      </x:c>
      <x:c r="E243" t="s">
        <x:v>455</x:v>
      </x:c>
      <x:c r="F243" t="s">
        <x:v>132</x:v>
      </x:c>
    </x:row>
    <x:row r="244" spans="1:6">
      <x:c r="A244" s="18">
        <x:v>33</x:v>
      </x:c>
      <x:c r="B244" t="s">
        <x:v>1</x:v>
      </x:c>
      <x:c r="C244" t="s">
        <x:v>207</x:v>
      </x:c>
      <x:c r="D244" t="s">
        <x:v>78</x:v>
      </x:c>
      <x:c r="E244" t="s">
        <x:v>455</x:v>
      </x:c>
      <x:c r="F244" t="s">
        <x:v>132</x:v>
      </x:c>
    </x:row>
    <x:row r="245" spans="1:6">
      <x:c r="A245" s="18">
        <x:v>34</x:v>
      </x:c>
      <x:c r="B245" t="s">
        <x:v>1</x:v>
      </x:c>
      <x:c r="C245" t="s">
        <x:v>198</x:v>
      </x:c>
      <x:c r="D245" t="s">
        <x:v>78</x:v>
      </x:c>
      <x:c r="E245" t="s">
        <x:v>455</x:v>
      </x:c>
      <x:c r="F245" t="s">
        <x:v>132</x:v>
      </x:c>
    </x:row>
    <x:row r="246" spans="1:6">
      <x:c r="A246" s="18">
        <x:v>35</x:v>
      </x:c>
      <x:c r="B246" t="s">
        <x:v>1</x:v>
      </x:c>
      <x:c r="C246" t="s">
        <x:v>197</x:v>
      </x:c>
      <x:c r="D246" t="s">
        <x:v>78</x:v>
      </x:c>
      <x:c r="E246" t="s">
        <x:v>455</x:v>
      </x:c>
      <x:c r="F246" t="s">
        <x:v>132</x:v>
      </x:c>
    </x:row>
    <x:row r="247" spans="1:6">
      <x:c r="A247" s="18">
        <x:v>36</x:v>
      </x:c>
      <x:c r="B247" t="s">
        <x:v>1</x:v>
      </x:c>
      <x:c r="C247" t="s">
        <x:v>428</x:v>
      </x:c>
      <x:c r="D247" t="s">
        <x:v>78</x:v>
      </x:c>
      <x:c r="E247" t="s">
        <x:v>455</x:v>
      </x:c>
      <x:c r="F247" t="s">
        <x:v>132</x:v>
      </x:c>
    </x:row>
    <x:row r="248" spans="1:6">
      <x:c r="A248" s="18">
        <x:v>47</x:v>
      </x:c>
      <x:c r="B248" t="s">
        <x:v>1</x:v>
      </x:c>
      <x:c r="C248" t="s">
        <x:v>429</x:v>
      </x:c>
      <x:c r="D248" t="s">
        <x:v>78</x:v>
      </x:c>
      <x:c r="E248" t="s">
        <x:v>455</x:v>
      </x:c>
      <x:c r="F248" t="s">
        <x:v>132</x:v>
      </x:c>
    </x:row>
    <x:row r="249" spans="1:6">
      <x:c r="A249" s="18">
        <x:v>48</x:v>
      </x:c>
      <x:c r="B249" t="s">
        <x:v>1</x:v>
      </x:c>
      <x:c r="C249" t="s">
        <x:v>222</x:v>
      </x:c>
      <x:c r="D249" t="s">
        <x:v>78</x:v>
      </x:c>
      <x:c r="E249" t="s">
        <x:v>455</x:v>
      </x:c>
      <x:c r="F249" t="s">
        <x:v>132</x:v>
      </x:c>
    </x:row>
    <x:row r="250" spans="1:6">
      <x:c r="A250" s="18">
        <x:v>49</x:v>
      </x:c>
      <x:c r="B250" t="s">
        <x:v>1</x:v>
      </x:c>
      <x:c r="C250" t="s">
        <x:v>206</x:v>
      </x:c>
      <x:c r="D250" t="s">
        <x:v>78</x:v>
      </x:c>
      <x:c r="E250" t="s">
        <x:v>455</x:v>
      </x:c>
      <x:c r="F250" t="s">
        <x:v>132</x:v>
      </x:c>
    </x:row>
    <x:row r="251" spans="1:6">
      <x:c r="A251" s="18">
        <x:v>40</x:v>
      </x:c>
      <x:c r="B251" t="s">
        <x:v>1</x:v>
      </x:c>
      <x:c r="C251" t="s">
        <x:v>426</x:v>
      </x:c>
      <x:c r="D251" t="s">
        <x:v>78</x:v>
      </x:c>
      <x:c r="E251" t="s">
        <x:v>455</x:v>
      </x:c>
      <x:c r="F251" t="s">
        <x:v>132</x:v>
      </x:c>
    </x:row>
    <x:row r="252" spans="1:6">
      <x:c r="A252" s="18">
        <x:v>41</x:v>
      </x:c>
      <x:c r="B252" t="s">
        <x:v>1</x:v>
      </x:c>
      <x:c r="C252" t="s">
        <x:v>462</x:v>
      </x:c>
      <x:c r="D252" t="s">
        <x:v>78</x:v>
      </x:c>
      <x:c r="E252" t="s">
        <x:v>455</x:v>
      </x:c>
      <x:c r="F252" t="s">
        <x:v>132</x:v>
      </x:c>
    </x:row>
    <x:row r="253" spans="1:6">
      <x:c r="A253" s="18">
        <x:v>42</x:v>
      </x:c>
      <x:c r="B253" t="s">
        <x:v>1</x:v>
      </x:c>
      <x:c r="C253" t="s">
        <x:v>431</x:v>
      </x:c>
      <x:c r="D253" t="s">
        <x:v>78</x:v>
      </x:c>
      <x:c r="E253" t="s">
        <x:v>455</x:v>
      </x:c>
      <x:c r="F253" t="s">
        <x:v>132</x:v>
      </x:c>
    </x:row>
    <x:row r="254" spans="1:6">
      <x:c r="A254" s="18">
        <x:v>43</x:v>
      </x:c>
      <x:c r="B254" t="s">
        <x:v>1</x:v>
      </x:c>
      <x:c r="C254" t="s">
        <x:v>340</x:v>
      </x:c>
      <x:c r="D254" t="s">
        <x:v>78</x:v>
      </x:c>
      <x:c r="E254" t="s">
        <x:v>455</x:v>
      </x:c>
      <x:c r="F254" t="s">
        <x:v>132</x:v>
      </x:c>
    </x:row>
    <x:row r="255" spans="1:6">
      <x:c r="A255" s="18">
        <x:v>44</x:v>
      </x:c>
      <x:c r="B255" t="s">
        <x:v>1</x:v>
      </x:c>
      <x:c r="C255" t="s">
        <x:v>427</x:v>
      </x:c>
      <x:c r="D255" t="s">
        <x:v>78</x:v>
      </x:c>
      <x:c r="E255" t="s">
        <x:v>455</x:v>
      </x:c>
      <x:c r="F255" t="s">
        <x:v>132</x:v>
      </x:c>
    </x:row>
    <x:row r="256" spans="1:6">
      <x:c r="A256" s="18">
        <x:v>45</x:v>
      </x:c>
      <x:c r="B256" t="s">
        <x:v>1</x:v>
      </x:c>
      <x:c r="C256" t="s">
        <x:v>461</x:v>
      </x:c>
      <x:c r="D256" t="s">
        <x:v>78</x:v>
      </x:c>
      <x:c r="E256" t="s">
        <x:v>455</x:v>
      </x:c>
      <x:c r="F256" t="s">
        <x:v>132</x:v>
      </x:c>
    </x:row>
    <x:row r="257" spans="1:6">
      <x:c r="A257" s="18">
        <x:v>46</x:v>
      </x:c>
      <x:c r="B257" t="s">
        <x:v>1</x:v>
      </x:c>
      <x:c r="C257" t="s">
        <x:v>463</x:v>
      </x:c>
      <x:c r="D257" t="s">
        <x:v>78</x:v>
      </x:c>
      <x:c r="E257" t="s">
        <x:v>455</x:v>
      </x:c>
      <x:c r="F257" t="s">
        <x:v>132</x:v>
      </x:c>
    </x:row>
    <x:row r="258" spans="1:6">
      <x:c r="A258" s="18">
        <x:v>47</x:v>
      </x:c>
      <x:c r="B258" t="s">
        <x:v>1</x:v>
      </x:c>
      <x:c r="C258" t="s">
        <x:v>216</x:v>
      </x:c>
      <x:c r="D258" t="s">
        <x:v>78</x:v>
      </x:c>
      <x:c r="E258" t="s">
        <x:v>455</x:v>
      </x:c>
      <x:c r="F258" t="s">
        <x:v>132</x:v>
      </x:c>
    </x:row>
    <x:row r="259" spans="1:6">
      <x:c r="A259" s="18">
        <x:v>48</x:v>
      </x:c>
      <x:c r="B259" t="s">
        <x:v>1</x:v>
      </x:c>
      <x:c r="C259" t="s">
        <x:v>500</x:v>
      </x:c>
      <x:c r="D259" t="s">
        <x:v>78</x:v>
      </x:c>
      <x:c r="E259" t="s">
        <x:v>455</x:v>
      </x:c>
      <x:c r="F259" t="s">
        <x:v>132</x:v>
      </x:c>
    </x:row>
    <x:row r="260" spans="1:6">
      <x:c r="A260" s="18">
        <x:v>49</x:v>
      </x:c>
      <x:c r="B260" t="s">
        <x:v>1</x:v>
      </x:c>
      <x:c r="C260" t="s">
        <x:v>423</x:v>
      </x:c>
      <x:c r="D260" t="s">
        <x:v>78</x:v>
      </x:c>
      <x:c r="E260" t="s">
        <x:v>455</x:v>
      </x:c>
      <x:c r="F260" t="s">
        <x:v>132</x:v>
      </x:c>
    </x:row>
    <x:row r="261" spans="1:6">
      <x:c r="A261" s="18">
        <x:v>50</x:v>
      </x:c>
      <x:c r="B261" t="s">
        <x:v>1</x:v>
      </x:c>
      <x:c r="C261" t="s">
        <x:v>464</x:v>
      </x:c>
      <x:c r="D261" t="s">
        <x:v>78</x:v>
      </x:c>
      <x:c r="E261" t="s">
        <x:v>455</x:v>
      </x:c>
      <x:c r="F261" t="s">
        <x:v>132</x:v>
      </x:c>
    </x:row>
    <x:row r="262" spans="1:6">
      <x:c r="A262" s="18">
        <x:v>51</x:v>
      </x:c>
      <x:c r="B262" t="s">
        <x:v>1</x:v>
      </x:c>
      <x:c r="C262" t="s">
        <x:v>502</x:v>
      </x:c>
      <x:c r="D262" t="s">
        <x:v>78</x:v>
      </x:c>
      <x:c r="E262" t="s">
        <x:v>455</x:v>
      </x:c>
      <x:c r="F262" t="s">
        <x:v>132</x:v>
      </x:c>
    </x:row>
    <x:row r="263" spans="1:6">
      <x:c r="A263" s="18">
        <x:v>52</x:v>
      </x:c>
      <x:c r="B263" t="s">
        <x:v>1</x:v>
      </x:c>
      <x:c r="C263" t="s">
        <x:v>501</x:v>
      </x:c>
      <x:c r="D263" t="s">
        <x:v>78</x:v>
      </x:c>
      <x:c r="E263" t="s">
        <x:v>455</x:v>
      </x:c>
      <x:c r="F263" t="s">
        <x:v>132</x:v>
      </x:c>
    </x:row>
    <x:row r="264" spans="1:6">
      <x:c r="A264" s="18">
        <x:v>53</x:v>
      </x:c>
      <x:c r="B264" t="s">
        <x:v>1</x:v>
      </x:c>
      <x:c r="C264" t="s">
        <x:v>199</x:v>
      </x:c>
      <x:c r="D264" t="s">
        <x:v>78</x:v>
      </x:c>
      <x:c r="E264" t="s">
        <x:v>455</x:v>
      </x:c>
      <x:c r="F264" t="s">
        <x:v>132</x:v>
      </x:c>
    </x:row>
    <x:row r="265" spans="1:6">
      <x:c r="A265" s="18">
        <x:v>54</x:v>
      </x:c>
      <x:c r="B265" t="s">
        <x:v>1</x:v>
      </x:c>
      <x:c r="C265" t="s">
        <x:v>112</x:v>
      </x:c>
      <x:c r="D265" t="s">
        <x:v>78</x:v>
      </x:c>
      <x:c r="E265" t="s">
        <x:v>455</x:v>
      </x:c>
      <x:c r="F265" t="s">
        <x:v>132</x:v>
      </x:c>
    </x:row>
    <x:row r="266" spans="1:6">
      <x:c r="A266" s="18">
        <x:v>55</x:v>
      </x:c>
      <x:c r="B266" t="s">
        <x:v>1</x:v>
      </x:c>
      <x:c r="C266" t="s">
        <x:v>203</x:v>
      </x:c>
      <x:c r="D266" t="s">
        <x:v>78</x:v>
      </x:c>
      <x:c r="E266" t="s">
        <x:v>455</x:v>
      </x:c>
      <x:c r="F266" t="s">
        <x:v>132</x:v>
      </x:c>
    </x:row>
    <x:row r="267" spans="1:6">
      <x:c r="A267" s="18">
        <x:v>56</x:v>
      </x:c>
      <x:c r="B267" t="s">
        <x:v>1</x:v>
      </x:c>
      <x:c r="C267" t="s">
        <x:v>421</x:v>
      </x:c>
      <x:c r="D267" t="s">
        <x:v>78</x:v>
      </x:c>
      <x:c r="E267" t="s">
        <x:v>455</x:v>
      </x:c>
      <x:c r="F267" t="s">
        <x:v>132</x:v>
      </x:c>
    </x:row>
    <x:row r="268" spans="1:6">
      <x:c r="A268" s="18">
        <x:v>57</x:v>
      </x:c>
      <x:c r="B268" t="s">
        <x:v>1</x:v>
      </x:c>
      <x:c r="C268" t="s">
        <x:v>436</x:v>
      </x:c>
      <x:c r="D268" t="s">
        <x:v>78</x:v>
      </x:c>
      <x:c r="E268" t="s">
        <x:v>455</x:v>
      </x:c>
      <x:c r="F268" t="s">
        <x:v>132</x:v>
      </x:c>
    </x:row>
    <x:row r="269" spans="1:6">
      <x:c r="A269" s="18">
        <x:v>58</x:v>
      </x:c>
      <x:c r="B269" t="s">
        <x:v>1</x:v>
      </x:c>
      <x:c r="C269" t="s">
        <x:v>434</x:v>
      </x:c>
      <x:c r="D269" t="s">
        <x:v>78</x:v>
      </x:c>
      <x:c r="E269" t="s">
        <x:v>455</x:v>
      </x:c>
      <x:c r="F269" t="s">
        <x:v>132</x:v>
      </x:c>
    </x:row>
    <x:row r="270" spans="1:6">
      <x:c r="A270" s="18">
        <x:v>59</x:v>
      </x:c>
      <x:c r="B270" t="s">
        <x:v>1</x:v>
      </x:c>
      <x:c r="C270" t="s">
        <x:v>217</x:v>
      </x:c>
      <x:c r="D270" t="s">
        <x:v>78</x:v>
      </x:c>
      <x:c r="E270" t="s">
        <x:v>455</x:v>
      </x:c>
      <x:c r="F270" t="s">
        <x:v>132</x:v>
      </x:c>
    </x:row>
    <x:row r="271" spans="1:6">
      <x:c r="A271" s="18">
        <x:v>60</x:v>
      </x:c>
      <x:c r="B271" t="s">
        <x:v>1</x:v>
      </x:c>
      <x:c r="C271" t="s">
        <x:v>433</x:v>
      </x:c>
      <x:c r="D271" t="s">
        <x:v>78</x:v>
      </x:c>
      <x:c r="E271" t="s">
        <x:v>455</x:v>
      </x:c>
      <x:c r="F271" t="s">
        <x:v>132</x:v>
      </x:c>
    </x:row>
    <x:row r="272" spans="1:6">
      <x:c r="A272" s="18">
        <x:v>61</x:v>
      </x:c>
      <x:c r="B272" t="s">
        <x:v>1</x:v>
      </x:c>
      <x:c r="C272" t="s">
        <x:v>435</x:v>
      </x:c>
      <x:c r="D272" t="s">
        <x:v>78</x:v>
      </x:c>
      <x:c r="E272" t="s">
        <x:v>455</x:v>
      </x:c>
      <x:c r="F272" t="s">
        <x:v>132</x:v>
      </x:c>
    </x:row>
    <x:row r="273" spans="1:6">
      <x:c r="A273" s="18">
        <x:v>62</x:v>
      </x:c>
      <x:c r="B273" t="s">
        <x:v>1</x:v>
      </x:c>
      <x:c r="C273" t="s">
        <x:v>342</x:v>
      </x:c>
      <x:c r="D273" t="s">
        <x:v>78</x:v>
      </x:c>
      <x:c r="E273" t="s">
        <x:v>455</x:v>
      </x:c>
      <x:c r="F273" t="s">
        <x:v>132</x:v>
      </x:c>
    </x:row>
    <x:row r="274" spans="1:6">
      <x:c r="A274" s="18">
        <x:v>63</x:v>
      </x:c>
      <x:c r="B274" t="s">
        <x:v>1</x:v>
      </x:c>
      <x:c r="C274" t="s">
        <x:v>344</x:v>
      </x:c>
      <x:c r="D274" t="s">
        <x:v>78</x:v>
      </x:c>
      <x:c r="E274" t="s">
        <x:v>455</x:v>
      </x:c>
      <x:c r="F274" t="s">
        <x:v>132</x:v>
      </x:c>
    </x:row>
    <x:row r="275" spans="1:6">
      <x:c r="A275" s="18">
        <x:v>64</x:v>
      </x:c>
      <x:c r="B275" t="s">
        <x:v>1</x:v>
      </x:c>
      <x:c r="C275" t="s">
        <x:v>325</x:v>
      </x:c>
      <x:c r="D275" t="s">
        <x:v>78</x:v>
      </x:c>
      <x:c r="E275" t="s">
        <x:v>455</x:v>
      </x:c>
      <x:c r="F275" t="s">
        <x:v>132</x:v>
      </x:c>
    </x:row>
    <x:row r="276" spans="1:6">
      <x:c r="A276" s="18">
        <x:v>65</x:v>
      </x:c>
      <x:c r="B276" t="s">
        <x:v>1</x:v>
      </x:c>
      <x:c r="C276" t="s">
        <x:v>223</x:v>
      </x:c>
      <x:c r="D276" t="s">
        <x:v>78</x:v>
      </x:c>
      <x:c r="E276" t="s">
        <x:v>455</x:v>
      </x:c>
      <x:c r="F276" t="s">
        <x:v>132</x:v>
      </x:c>
    </x:row>
    <x:row r="277" spans="1:6">
      <x:c r="A277" s="18">
        <x:v>66</x:v>
      </x:c>
      <x:c r="B277" t="s">
        <x:v>1</x:v>
      </x:c>
      <x:c r="C277" t="s">
        <x:v>208</x:v>
      </x:c>
      <x:c r="D277" t="s">
        <x:v>78</x:v>
      </x:c>
      <x:c r="E277" t="s">
        <x:v>455</x:v>
      </x:c>
      <x:c r="F277" t="s">
        <x:v>132</x:v>
      </x:c>
    </x:row>
    <x:row r="278" spans="1:6">
      <x:c r="A278" s="18">
        <x:v>67</x:v>
      </x:c>
      <x:c r="B278" t="s">
        <x:v>1</x:v>
      </x:c>
      <x:c r="C278" t="s">
        <x:v>422</x:v>
      </x:c>
      <x:c r="D278" t="s">
        <x:v>78</x:v>
      </x:c>
      <x:c r="E278" t="s">
        <x:v>455</x:v>
      </x:c>
      <x:c r="F278" t="s">
        <x:v>132</x:v>
      </x:c>
    </x:row>
    <x:row r="279" spans="1:6">
      <x:c r="A279" s="18">
        <x:v>68</x:v>
      </x:c>
      <x:c r="B279" t="s">
        <x:v>1</x:v>
      </x:c>
      <x:c r="C279" t="s">
        <x:v>430</x:v>
      </x:c>
      <x:c r="D279" t="s">
        <x:v>78</x:v>
      </x:c>
      <x:c r="E279" t="s">
        <x:v>455</x:v>
      </x:c>
      <x:c r="F279" t="s">
        <x:v>132</x:v>
      </x:c>
    </x:row>
    <x:row r="280" spans="1:6">
      <x:c r="A280" s="18">
        <x:v>69</x:v>
      </x:c>
      <x:c r="B280" t="s">
        <x:v>1</x:v>
      </x:c>
      <x:c r="C280" t="s">
        <x:v>209</x:v>
      </x:c>
      <x:c r="D280" t="s">
        <x:v>78</x:v>
      </x:c>
      <x:c r="E280" t="s">
        <x:v>455</x:v>
      </x:c>
      <x:c r="F280" t="s">
        <x:v>132</x:v>
      </x:c>
    </x:row>
    <x:row r="281" spans="1:6">
      <x:c r="A281" s="18">
        <x:v>70</x:v>
      </x:c>
      <x:c r="B281" t="s">
        <x:v>1</x:v>
      </x:c>
      <x:c r="C281" t="s">
        <x:v>210</x:v>
      </x:c>
      <x:c r="D281" t="s">
        <x:v>78</x:v>
      </x:c>
      <x:c r="E281" t="s">
        <x:v>455</x:v>
      </x:c>
      <x:c r="F281" t="s">
        <x:v>132</x:v>
      </x:c>
    </x:row>
    <x:row r="282" spans="1:6">
      <x:c r="A282" s="18">
        <x:v>71</x:v>
      </x:c>
      <x:c r="B282" t="s">
        <x:v>1</x:v>
      </x:c>
      <x:c r="C282" t="s">
        <x:v>212</x:v>
      </x:c>
      <x:c r="D282" t="s">
        <x:v>78</x:v>
      </x:c>
      <x:c r="E282" t="s">
        <x:v>455</x:v>
      </x:c>
      <x:c r="F282" t="s">
        <x:v>132</x:v>
      </x:c>
    </x:row>
    <x:row r="283" spans="1:6">
      <x:c r="A283" s="18">
        <x:v>72</x:v>
      </x:c>
      <x:c r="B283" t="s">
        <x:v>1</x:v>
      </x:c>
      <x:c r="C283" t="s">
        <x:v>110</x:v>
      </x:c>
      <x:c r="D283" t="s">
        <x:v>78</x:v>
      </x:c>
      <x:c r="E283" t="s">
        <x:v>455</x:v>
      </x:c>
      <x:c r="F283" t="s">
        <x:v>132</x:v>
      </x:c>
    </x:row>
    <x:row r="284" spans="1:6">
      <x:c r="A284" s="18">
        <x:v>73</x:v>
      </x:c>
      <x:c r="B284" t="s">
        <x:v>1</x:v>
      </x:c>
      <x:c r="C284" t="s">
        <x:v>438</x:v>
      </x:c>
      <x:c r="D284" t="s">
        <x:v>78</x:v>
      </x:c>
      <x:c r="E284" t="s">
        <x:v>455</x:v>
      </x:c>
      <x:c r="F284" t="s">
        <x:v>132</x:v>
      </x:c>
    </x:row>
    <x:row r="285" spans="1:6">
      <x:c r="A285" s="18">
        <x:v>74</x:v>
      </x:c>
      <x:c r="B285" t="s">
        <x:v>1</x:v>
      </x:c>
      <x:c r="C285" t="s">
        <x:v>439</x:v>
      </x:c>
      <x:c r="D285" t="s">
        <x:v>78</x:v>
      </x:c>
      <x:c r="E285" t="s">
        <x:v>455</x:v>
      </x:c>
      <x:c r="F285" t="s">
        <x:v>132</x:v>
      </x:c>
    </x:row>
    <x:row r="286" spans="1:6">
      <x:c r="A286" s="18">
        <x:v>75</x:v>
      </x:c>
      <x:c r="B286" t="s">
        <x:v>1</x:v>
      </x:c>
      <x:c r="C286" t="s">
        <x:v>111</x:v>
      </x:c>
      <x:c r="D286" t="s">
        <x:v>78</x:v>
      </x:c>
      <x:c r="E286" t="s">
        <x:v>455</x:v>
      </x:c>
      <x:c r="F286" t="s">
        <x:v>132</x:v>
      </x:c>
    </x:row>
    <x:row r="287" spans="1:6">
      <x:c r="A287" s="18">
        <x:v>76</x:v>
      </x:c>
      <x:c r="B287" t="s">
        <x:v>1</x:v>
      </x:c>
      <x:c r="C287" t="s">
        <x:v>218</x:v>
      </x:c>
      <x:c r="D287" t="s">
        <x:v>78</x:v>
      </x:c>
      <x:c r="E287" t="s">
        <x:v>455</x:v>
      </x:c>
      <x:c r="F287" t="s">
        <x:v>132</x:v>
      </x:c>
    </x:row>
    <x:row r="288" spans="1:6">
      <x:c r="A288" s="18">
        <x:v>77</x:v>
      </x:c>
      <x:c r="B288" t="s">
        <x:v>1</x:v>
      </x:c>
      <x:c r="C288" t="s">
        <x:v>437</x:v>
      </x:c>
      <x:c r="D288" t="s">
        <x:v>78</x:v>
      </x:c>
      <x:c r="E288" t="s">
        <x:v>455</x:v>
      </x:c>
      <x:c r="F288" t="s">
        <x:v>132</x:v>
      </x:c>
    </x:row>
    <x:row r="289" spans="1:6">
      <x:c r="A289" s="18">
        <x:v>78</x:v>
      </x:c>
      <x:c r="B289" t="s">
        <x:v>1</x:v>
      </x:c>
      <x:c r="C289" t="s">
        <x:v>113</x:v>
      </x:c>
      <x:c r="D289" t="s">
        <x:v>78</x:v>
      </x:c>
      <x:c r="E289" t="s">
        <x:v>455</x:v>
      </x:c>
      <x:c r="F289" t="s">
        <x:v>132</x:v>
      </x:c>
    </x:row>
    <x:row r="290" spans="1:6">
      <x:c r="A290" s="18">
        <x:v>79</x:v>
      </x:c>
      <x:c r="B290" t="s">
        <x:v>1</x:v>
      </x:c>
      <x:c r="C290" t="s">
        <x:v>424</x:v>
      </x:c>
      <x:c r="D290" t="s">
        <x:v>78</x:v>
      </x:c>
      <x:c r="E290" t="s">
        <x:v>455</x:v>
      </x:c>
      <x:c r="F290" t="s">
        <x:v>132</x:v>
      </x:c>
    </x:row>
    <x:row r="291" spans="1:6">
      <x:c r="A291" s="18">
        <x:v>80</x:v>
      </x:c>
      <x:c r="B291" t="s">
        <x:v>1</x:v>
      </x:c>
      <x:c r="C291" t="s">
        <x:v>432</x:v>
      </x:c>
      <x:c r="D291" t="s">
        <x:v>78</x:v>
      </x:c>
      <x:c r="E291" t="s">
        <x:v>455</x:v>
      </x:c>
      <x:c r="F291" t="s">
        <x:v>132</x:v>
      </x:c>
    </x:row>
    <x:row r="292" spans="1:6">
      <x:c r="A292" s="18">
        <x:v>81</x:v>
      </x:c>
      <x:c r="B292" t="s">
        <x:v>1</x:v>
      </x:c>
      <x:c r="C292" t="s">
        <x:v>114</x:v>
      </x:c>
      <x:c r="D292" t="s">
        <x:v>78</x:v>
      </x:c>
      <x:c r="E292" t="s">
        <x:v>455</x:v>
      </x:c>
      <x:c r="F292" t="s">
        <x:v>132</x:v>
      </x:c>
    </x:row>
    <x:row r="293" spans="1:6">
      <x:c r="A293" s="18">
        <x:v>82</x:v>
      </x:c>
      <x:c r="B293" t="s">
        <x:v>1</x:v>
      </x:c>
      <x:c r="C293" t="s">
        <x:v>425</x:v>
      </x:c>
      <x:c r="D293" t="s">
        <x:v>78</x:v>
      </x:c>
      <x:c r="E293" t="s">
        <x:v>455</x:v>
      </x:c>
      <x:c r="F293" t="s">
        <x:v>132</x:v>
      </x:c>
    </x:row>
    <x:row r="294" spans="1:6">
      <x:c r="A294" s="18">
        <x:v>83</x:v>
      </x:c>
      <x:c r="B294" t="s">
        <x:v>1</x:v>
      </x:c>
      <x:c r="C294" t="s">
        <x:v>440</x:v>
      </x:c>
      <x:c r="D294" t="s">
        <x:v>78</x:v>
      </x:c>
      <x:c r="E294" t="s">
        <x:v>455</x:v>
      </x:c>
      <x:c r="F294" t="s">
        <x:v>132</x:v>
      </x:c>
    </x:row>
    <x:row r="295" spans="1:6">
      <x:c r="A295" s="18">
        <x:v>84</x:v>
      </x:c>
      <x:c r="B295" t="s">
        <x:v>1</x:v>
      </x:c>
      <x:c r="C295" t="s">
        <x:v>116</x:v>
      </x:c>
      <x:c r="D295" t="s">
        <x:v>78</x:v>
      </x:c>
      <x:c r="E295" t="s">
        <x:v>455</x:v>
      </x:c>
      <x:c r="F295" t="s">
        <x:v>132</x:v>
      </x:c>
    </x:row>
    <x:row r="296" spans="1:6">
      <x:c r="A296" s="18">
        <x:v>85</x:v>
      </x:c>
      <x:c r="B296" t="s">
        <x:v>1</x:v>
      </x:c>
      <x:c r="C296" t="s">
        <x:v>39</x:v>
      </x:c>
      <x:c r="D296" t="s">
        <x:v>78</x:v>
      </x:c>
      <x:c r="E296" t="s">
        <x:v>455</x:v>
      </x:c>
      <x:c r="F296" t="s">
        <x:v>132</x:v>
      </x:c>
    </x:row>
    <x:row r="297" spans="1:6">
      <x:c r="A297" s="18">
        <x:v>86</x:v>
      </x:c>
      <x:c r="B297" t="s">
        <x:v>1</x:v>
      </x:c>
      <x:c r="C297" t="s">
        <x:v>124</x:v>
      </x:c>
      <x:c r="D297" t="s">
        <x:v>78</x:v>
      </x:c>
      <x:c r="E297" t="s">
        <x:v>455</x:v>
      </x:c>
      <x:c r="F297" t="s">
        <x:v>132</x:v>
      </x:c>
    </x:row>
    <x:row r="298" spans="1:6">
      <x:c r="A298" s="18">
        <x:v>87</x:v>
      </x:c>
      <x:c r="B298" t="s">
        <x:v>1</x:v>
      </x:c>
      <x:c r="C298" t="s">
        <x:v>442</x:v>
      </x:c>
      <x:c r="D298" t="s">
        <x:v>78</x:v>
      </x:c>
      <x:c r="E298" t="s">
        <x:v>455</x:v>
      </x:c>
      <x:c r="F298" t="s">
        <x:v>132</x:v>
      </x:c>
    </x:row>
    <x:row r="299" spans="1:6">
      <x:c r="A299" s="18">
        <x:v>88</x:v>
      </x:c>
      <x:c r="B299" t="s">
        <x:v>1</x:v>
      </x:c>
      <x:c r="C299" t="s">
        <x:v>10</x:v>
      </x:c>
      <x:c r="D299" t="s">
        <x:v>78</x:v>
      </x:c>
      <x:c r="E299" t="s">
        <x:v>455</x:v>
      </x:c>
      <x:c r="F299" t="s">
        <x:v>132</x:v>
      </x:c>
    </x:row>
    <x:row r="300" spans="1:6">
      <x:c r="A300" s="18">
        <x:v>89</x:v>
      </x:c>
      <x:c r="B300" t="s">
        <x:v>1</x:v>
      </x:c>
      <x:c r="C300" t="s">
        <x:v>115</x:v>
      </x:c>
      <x:c r="D300" t="s">
        <x:v>78</x:v>
      </x:c>
      <x:c r="E300" t="s">
        <x:v>455</x:v>
      </x:c>
      <x:c r="F300" t="s">
        <x:v>132</x:v>
      </x:c>
    </x:row>
    <x:row r="301" spans="1:6">
      <x:c r="A301" s="18">
        <x:v>90</x:v>
      </x:c>
      <x:c r="B301" t="s">
        <x:v>1</x:v>
      </x:c>
      <x:c r="C301" t="s">
        <x:v>441</x:v>
      </x:c>
      <x:c r="D301" t="s">
        <x:v>78</x:v>
      </x:c>
      <x:c r="E301" t="s">
        <x:v>455</x:v>
      </x:c>
      <x:c r="F301" t="s">
        <x:v>132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6"/>
  <x:sheetViews>
    <x:sheetView topLeftCell="A1" zoomScaleNormal="75" zoomScaleSheetLayoutView="100" workbookViewId="0">
      <x:selection activeCell="D17" activeCellId="0" sqref="D17:D17"/>
    </x:sheetView>
  </x:sheetViews>
  <x:sheetFormatPr defaultColWidth="9.140625" defaultRowHeight="14.19999999999999928946"/>
  <x:cols>
    <x:col min="1" max="1" width="10" customWidth="1"/>
    <x:col min="2" max="3" width="22" customWidth="1"/>
    <x:col min="4" max="4" width="12" customWidth="1"/>
    <x:col min="5" max="5" width="20" customWidth="1"/>
    <x:col min="6" max="6" width="16" customWidth="1"/>
    <x:col min="7" max="7" width="12" customWidth="1"/>
  </x:cols>
  <x:sheetData>
    <x:row r="1" spans="1:7" ht="22" customHeight="1">
      <x:c r="A1" s="1" t="s">
        <x:v>505</x:v>
      </x:c>
      <x:c r="B1" s="1" t="s">
        <x:v>503</x:v>
      </x:c>
      <x:c r="C1" s="1" t="s">
        <x:v>127</x:v>
      </x:c>
      <x:c r="D1" s="1" t="s">
        <x:v>77</x:v>
      </x:c>
      <x:c r="E1" s="1" t="s">
        <x:v>202</x:v>
      </x:c>
      <x:c r="F1" s="1" t="s">
        <x:v>220</x:v>
      </x:c>
      <x:c r="G1" s="1" t="s">
        <x:v>504</x:v>
      </x:c>
    </x:row>
    <x:row r="2" spans="1:7">
      <x:c r="A2">
        <x:v>1</x:v>
      </x:c>
      <x:c r="B2" t="s">
        <x:v>506</x:v>
      </x:c>
      <x:c r="C2" t="s">
        <x:v>224</x:v>
      </x:c>
      <x:c r="D2" t="s">
        <x:v>88</x:v>
      </x:c>
      <x:c r="E2" t="s">
        <x:v>353</x:v>
      </x:c>
      <x:c r="F2" s="5" t="s">
        <x:v>509</x:v>
      </x:c>
      <x:c r="G2" t="s">
        <x:v>85</x:v>
      </x:c>
    </x:row>
    <x:row r="3" spans="1:7">
      <x:c r="A3">
        <x:v>2</x:v>
      </x:c>
      <x:c r="B3" t="s">
        <x:v>507</x:v>
      </x:c>
      <x:c r="C3" t="s">
        <x:v>454</x:v>
      </x:c>
      <x:c r="D3" t="s">
        <x:v>88</x:v>
      </x:c>
      <x:c r="E3" t="s">
        <x:v>226</x:v>
      </x:c>
      <x:c r="F3" s="5" t="s">
        <x:v>508</x:v>
      </x:c>
      <x:c r="G3" t="s">
        <x:v>83</x:v>
      </x:c>
    </x:row>
    <x:row r="4" spans="1:7">
      <x:c r="A4">
        <x:v>3</x:v>
      </x:c>
      <x:c r="B4" t="s">
        <x:v>355</x:v>
      </x:c>
      <x:c r="C4" t="s">
        <x:v>407</x:v>
      </x:c>
      <x:c r="D4" t="s">
        <x:v>510</x:v>
      </x:c>
      <x:c r="E4" t="s">
        <x:v>82</x:v>
      </x:c>
      <x:c r="F4" s="5" t="s">
        <x:v>511</x:v>
      </x:c>
      <x:c r="G4" t="s">
        <x:v>83</x:v>
      </x:c>
    </x:row>
    <x:row r="5" spans="1:7">
      <x:c r="A5">
        <x:v>4</x:v>
      </x:c>
      <x:c r="B5" t="s">
        <x:v>232</x:v>
      </x:c>
      <x:c r="C5" t="s">
        <x:v>240</x:v>
      </x:c>
      <x:c r="D5" t="s">
        <x:v>88</x:v>
      </x:c>
      <x:c r="E5" t="s">
        <x:v>358</x:v>
      </x:c>
      <x:c r="F5" s="5" t="s">
        <x:v>512</x:v>
      </x:c>
      <x:c r="G5" t="s">
        <x:v>261</x:v>
      </x:c>
    </x:row>
    <x:row r="6" spans="1:7">
      <x:c r="A6">
        <x:v>5</x:v>
      </x:c>
      <x:c r="B6" t="s">
        <x:v>357</x:v>
      </x:c>
      <x:c r="C6" t="s">
        <x:v>16</x:v>
      </x:c>
      <x:c r="D6" t="s">
        <x:v>516</x:v>
      </x:c>
      <x:c r="E6" t="s">
        <x:v>514</x:v>
      </x:c>
      <x:c r="F6" s="5" t="s">
        <x:v>513</x:v>
      </x:c>
      <x:c r="G6" t="s">
        <x:v>85</x:v>
      </x:c>
    </x:row>
  </x:sheetData>
  <x:dataValidations count="1">
    <x:dataValidation type="list" allowBlank="1" sqref="G2:G500">
      <x:formula1>"Low,Medium,High"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4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10" customWidth="1"/>
    <x:col min="2" max="2" width="22" customWidth="1"/>
    <x:col min="3" max="3" width="24" customWidth="1"/>
    <x:col min="4" max="4" width="18" customWidth="1"/>
    <x:col min="5" max="5" width="20.42578125" customWidth="1"/>
    <x:col min="6" max="6" width="12" customWidth="1"/>
    <x:col min="7" max="7" width="16" customWidth="1"/>
  </x:cols>
  <x:sheetData>
    <x:row r="1" spans="1:7" ht="22" customHeight="1">
      <x:c r="A1" s="1" t="s">
        <x:v>515</x:v>
      </x:c>
      <x:c r="B1" s="1" t="s">
        <x:v>517</x:v>
      </x:c>
      <x:c r="C1" s="1" t="s">
        <x:v>233</x:v>
      </x:c>
      <x:c r="D1" s="1" t="s">
        <x:v>359</x:v>
      </x:c>
      <x:c r="E1" s="1" t="s">
        <x:v>593</x:v>
      </x:c>
      <x:c r="F1" s="1" t="s">
        <x:v>77</x:v>
      </x:c>
      <x:c r="G1" s="1" t="s">
        <x:v>220</x:v>
      </x:c>
    </x:row>
    <x:row r="2" spans="1:7">
      <x:c r="A2">
        <x:v>1</x:v>
      </x:c>
      <x:c r="B2" t="s">
        <x:v>406</x:v>
      </x:c>
      <x:c r="C2" t="s">
        <x:v>224</x:v>
      </x:c>
      <x:c r="D2" t="s">
        <x:v>518</x:v>
      </x:c>
      <x:c r="E2" t="s">
        <x:v>234</x:v>
      </x:c>
      <x:c r="F2" t="s">
        <x:v>88</x:v>
      </x:c>
      <x:c r="G2" s="5" t="s">
        <x:v>509</x:v>
      </x:c>
    </x:row>
    <x:row r="3" spans="1:7">
      <x:c r="A3">
        <x:v>2</x:v>
      </x:c>
      <x:c r="B3" t="s">
        <x:v>354</x:v>
      </x:c>
      <x:c r="C3" t="s">
        <x:v>404</x:v>
      </x:c>
      <x:c r="D3" t="s">
        <x:v>520</x:v>
      </x:c>
      <x:c r="E3" t="s">
        <x:v>519</x:v>
      </x:c>
      <x:c r="F3" t="s">
        <x:v>88</x:v>
      </x:c>
      <x:c r="G3" s="5" t="s">
        <x:v>508</x:v>
      </x:c>
    </x:row>
    <x:row r="4" spans="1:7">
      <x:c r="A4">
        <x:v>3</x:v>
      </x:c>
      <x:c r="B4" t="s">
        <x:v>360</x:v>
      </x:c>
      <x:c r="C4" t="s">
        <x:v>228</x:v>
      </x:c>
      <x:c r="D4" t="s">
        <x:v>521</x:v>
      </x:c>
      <x:c r="E4" t="s">
        <x:v>356</x:v>
      </x:c>
      <x:c r="F4" t="s">
        <x:v>510</x:v>
      </x:c>
      <x:c r="G4" s="5" t="s">
        <x:v>511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H5"/>
  <x:sheetViews>
    <x:sheetView topLeftCell="A1" zoomScaleNormal="75" zoomScaleSheetLayoutView="100" workbookViewId="0">
      <x:selection activeCell="E1" activeCellId="0" sqref="E1:E1"/>
    </x:sheetView>
  </x:sheetViews>
  <x:sheetFormatPr defaultColWidth="9.140625" defaultRowHeight="14.19999999999999928946"/>
  <x:cols>
    <x:col min="1" max="1" width="10" customWidth="1"/>
    <x:col min="2" max="2" width="14" customWidth="1"/>
    <x:col min="3" max="3" width="22" customWidth="1"/>
    <x:col min="4" max="4" width="37.7109375" customWidth="1"/>
    <x:col min="5" max="7" width="16" customWidth="1"/>
    <x:col min="8" max="8" width="28" customWidth="1"/>
  </x:cols>
  <x:sheetData>
    <x:row r="1" spans="1:8" ht="22" customHeight="1">
      <x:c r="A1" s="1" t="s">
        <x:v>592</x:v>
      </x:c>
      <x:c r="B1" s="1" t="s">
        <x:v>523</x:v>
      </x:c>
      <x:c r="C1" s="1" t="s">
        <x:v>522</x:v>
      </x:c>
      <x:c r="D1" s="1" t="s">
        <x:v>262</x:v>
      </x:c>
      <x:c r="E1" s="1" t="s">
        <x:v>364</x:v>
      </x:c>
      <x:c r="F1" s="1" t="s">
        <x:v>365</x:v>
      </x:c>
      <x:c r="G1" s="1" t="s">
        <x:v>230</x:v>
      </x:c>
      <x:c r="H1" s="1" t="s">
        <x:v>75</x:v>
      </x:c>
    </x:row>
    <x:row r="2" spans="1:8">
      <x:c r="A2">
        <x:v>1</x:v>
      </x:c>
      <x:c r="B2" t="s">
        <x:v>526</x:v>
      </x:c>
      <x:c r="C2" t="s">
        <x:v>524</x:v>
      </x:c>
      <x:c r="D2" t="s">
        <x:v>411</x:v>
      </x:c>
      <x:c r="E2" t="s">
        <x:v>264</x:v>
      </x:c>
      <x:c r="F2" t="s">
        <x:v>263</x:v>
      </x:c>
      <x:c r="G2" s="5" t="s">
        <x:v>509</x:v>
      </x:c>
      <x:c r="H2" t="s">
        <x:v>363</x:v>
      </x:c>
    </x:row>
    <x:row r="3" spans="1:8">
      <x:c r="A3">
        <x:v>2</x:v>
      </x:c>
      <x:c r="B3" t="s">
        <x:v>16</x:v>
      </x:c>
      <x:c r="C3" t="s">
        <x:v>527</x:v>
      </x:c>
      <x:c r="D3" t="s">
        <x:v>443</x:v>
      </x:c>
      <x:c r="E3" t="s">
        <x:v>586</x:v>
      </x:c>
      <x:c r="F3" t="s">
        <x:v>525</x:v>
      </x:c>
      <x:c r="G3" s="5" t="s">
        <x:v>508</x:v>
      </x:c>
      <x:c r="H3" t="s">
        <x:v>412</x:v>
      </x:c>
    </x:row>
    <x:row r="4" spans="1:8">
      <x:c r="A4">
        <x:v>3</x:v>
      </x:c>
      <x:c r="B4" t="s">
        <x:v>454</x:v>
      </x:c>
      <x:c r="C4" t="s">
        <x:v>529</x:v>
      </x:c>
      <x:c r="D4" t="s">
        <x:v>117</x:v>
      </x:c>
      <x:c r="E4" t="s">
        <x:v>264</x:v>
      </x:c>
      <x:c r="F4" t="s">
        <x:v>528</x:v>
      </x:c>
      <x:c r="G4" s="5" t="s">
        <x:v>511</x:v>
      </x:c>
      <x:c r="H4" t="s">
        <x:v>237</x:v>
      </x:c>
    </x:row>
    <x:row r="5" spans="1:8">
      <x:c r="A5">
        <x:v>4</x:v>
      </x:c>
      <x:c r="B5" t="s">
        <x:v>587</x:v>
      </x:c>
      <x:c r="C5" t="s">
        <x:v>370</x:v>
      </x:c>
      <x:c r="D5" t="s">
        <x:v>118</x:v>
      </x:c>
      <x:c r="E5" t="s">
        <x:v>586</x:v>
      </x:c>
      <x:c r="F5" t="s">
        <x:v>530</x:v>
      </x:c>
      <x:c r="G5" s="5" t="s">
        <x:v>512</x:v>
      </x:c>
      <x:c r="H5" t="s">
        <x:v>366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K6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3" width="10" customWidth="1"/>
    <x:col min="4" max="4" width="18" customWidth="1"/>
    <x:col min="5" max="5" width="16" customWidth="1"/>
    <x:col min="6" max="6" width="14" customWidth="1"/>
    <x:col min="7" max="7" width="18" customWidth="1"/>
    <x:col min="8" max="8" width="14" customWidth="1"/>
    <x:col min="9" max="10" width="16" customWidth="1"/>
    <x:col min="11" max="11" width="20" customWidth="1"/>
  </x:cols>
  <x:sheetData>
    <x:row r="1" spans="1:11" ht="22" customHeight="1">
      <x:c r="A1" s="1" t="s">
        <x:v>531</x:v>
      </x:c>
      <x:c r="B1" s="1" t="s">
        <x:v>505</x:v>
      </x:c>
      <x:c r="C1" s="1" t="s">
        <x:v>451</x:v>
      </x:c>
      <x:c r="D1" s="1" t="s">
        <x:v>523</x:v>
      </x:c>
      <x:c r="E1" s="1" t="s">
        <x:v>593</x:v>
      </x:c>
      <x:c r="F1" s="1" t="s">
        <x:v>367</x:v>
      </x:c>
      <x:c r="G1" s="1" t="s">
        <x:v>245</x:v>
      </x:c>
      <x:c r="H1" s="1" t="s">
        <x:v>532</x:v>
      </x:c>
      <x:c r="I1" s="1" t="s">
        <x:v>361</x:v>
      </x:c>
      <x:c r="J1" s="1" t="s">
        <x:v>362</x:v>
      </x:c>
      <x:c r="K1" s="1" t="s">
        <x:v>202</x:v>
      </x:c>
    </x:row>
    <x:row r="2" spans="1:11">
      <x:c r="A2">
        <x:v>101</x:v>
      </x:c>
      <x:c r="B2">
        <x:v>1</x:v>
      </x:c>
      <x:c r="C2">
        <x:v>1002</x:v>
      </x:c>
      <x:c r="D2" t="s">
        <x:v>150</x:v>
      </x:c>
      <x:c r="E2" t="s">
        <x:v>589</x:v>
      </x:c>
      <x:c r="F2" t="s">
        <x:v>88</x:v>
      </x:c>
      <x:c r="G2" s="6">
        <x:v>12000</x:v>
      </x:c>
      <x:c r="H2" s="6">
        <x:v>3000</x:v>
      </x:c>
      <x:c r="I2" s="7">
        <x:v>2500000</x:v>
      </x:c>
      <x:c r="J2" s="7">
        <x:v>15000000</x:v>
      </x:c>
      <x:c r="K2" t="s">
        <x:v>368</x:v>
      </x:c>
    </x:row>
    <x:row r="3" spans="1:11">
      <x:c r="A3">
        <x:v>102</x:v>
      </x:c>
      <x:c r="B3">
        <x:v>2</x:v>
      </x:c>
      <x:c r="C3">
        <x:v>1004</x:v>
      </x:c>
      <x:c r="D3" t="s">
        <x:v>454</x:v>
      </x:c>
      <x:c r="E3" t="s">
        <x:v>533</x:v>
      </x:c>
      <x:c r="F3" t="s">
        <x:v>88</x:v>
      </x:c>
      <x:c r="G3" s="6">
        <x:v>35000</x:v>
      </x:c>
      <x:c r="H3" s="6">
        <x:v>5000</x:v>
      </x:c>
      <x:c r="I3" s="7">
        <x:v>4000000</x:v>
      </x:c>
      <x:c r="J3" s="7">
        <x:v>30000000</x:v>
      </x:c>
      <x:c r="K3" t="s">
        <x:v>229</x:v>
      </x:c>
    </x:row>
    <x:row r="4" spans="1:11">
      <x:c r="A4">
        <x:v>103</x:v>
      </x:c>
      <x:c r="B4">
        <x:v>4</x:v>
      </x:c>
      <x:c r="C4">
        <x:v>1031</x:v>
      </x:c>
      <x:c r="D4" t="s">
        <x:v>163</x:v>
      </x:c>
      <x:c r="E4" t="s">
        <x:v>584</x:v>
      </x:c>
      <x:c r="F4" t="s">
        <x:v>585</x:v>
      </x:c>
      <x:c r="G4" s="6">
        <x:v>22000</x:v>
      </x:c>
      <x:c r="H4" s="6">
        <x:v>2000</x:v>
      </x:c>
      <x:c r="I4" s="7">
        <x:v>1200000</x:v>
      </x:c>
      <x:c r="J4" s="7">
        <x:v>9000000</x:v>
      </x:c>
      <x:c r="K4" t="s">
        <x:v>590</x:v>
      </x:c>
    </x:row>
    <x:row r="5" spans="1:11">
      <x:c r="A5">
        <x:v>104</x:v>
      </x:c>
      <x:c r="B5">
        <x:v>3</x:v>
      </x:c>
      <x:c r="C5">
        <x:v>1071</x:v>
      </x:c>
      <x:c r="D5" t="s">
        <x:v>321</x:v>
      </x:c>
      <x:c r="E5" t="s">
        <x:v>598</x:v>
      </x:c>
      <x:c r="F5" t="s">
        <x:v>88</x:v>
      </x:c>
      <x:c r="G5" s="6">
        <x:v>54000</x:v>
      </x:c>
      <x:c r="H5" s="6">
        <x:v>15000</x:v>
      </x:c>
      <x:c r="I5" s="7">
        <x:v>8000000</x:v>
      </x:c>
      <x:c r="J5" s="7">
        <x:v>45000000</x:v>
      </x:c>
      <x:c r="K5" t="s">
        <x:v>369</x:v>
      </x:c>
    </x:row>
    <x:row r="6" spans="1:11">
      <x:c r="A6">
        <x:v>105</x:v>
      </x:c>
      <x:c r="B6">
        <x:v>1</x:v>
      </x:c>
      <x:c r="C6">
        <x:v>1001</x:v>
      </x:c>
      <x:c r="D6" t="s">
        <x:v>279</x:v>
      </x:c>
      <x:c r="E6" t="s">
        <x:v>603</x:v>
      </x:c>
      <x:c r="F6" t="s">
        <x:v>604</x:v>
      </x:c>
      <x:c r="G6" s="6">
        <x:v>8000</x:v>
      </x:c>
      <x:c r="H6" s="6">
        <x:v>1800</x:v>
      </x:c>
      <x:c r="I6" s="7">
        <x:v>900000</x:v>
      </x:c>
      <x:c r="J6" s="7">
        <x:v>7000000</x:v>
      </x:c>
      <x:c r="K6" t="s">
        <x:v>368</x:v>
      </x:c>
    </x:row>
  </x:sheetData>
  <x:dataValidations count="1">
    <x:dataValidation type="list" allowBlank="1" sqref="F2:F500">
      <x:formula1>"draft,active,sold,hidden"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G5"/>
  <x:sheetViews>
    <x:sheetView topLeftCell="A1" zoomScaleNormal="75" zoomScaleSheetLayoutView="100" workbookViewId="0">
      <x:selection activeCell="A1" activeCellId="0" sqref="A1:A1048576"/>
    </x:sheetView>
  </x:sheetViews>
  <x:sheetFormatPr defaultColWidth="9.140625" defaultRowHeight="14.19999999999999928946"/>
  <x:cols>
    <x:col min="1" max="1" width="14" style="18" customWidth="1"/>
    <x:col min="2" max="2" width="10" customWidth="1"/>
    <x:col min="3" max="3" width="16" customWidth="1"/>
    <x:col min="4" max="4" width="12" customWidth="1"/>
    <x:col min="5" max="5" width="38" customWidth="1"/>
    <x:col min="6" max="7" width="14" customWidth="1"/>
  </x:cols>
  <x:sheetData>
    <x:row r="1" spans="1:7" ht="22" customHeight="1">
      <x:c r="A1" s="1" t="s">
        <x:v>372</x:v>
      </x:c>
      <x:c r="B1" s="1" t="s">
        <x:v>531</x:v>
      </x:c>
      <x:c r="C1" s="1" t="s">
        <x:v>535</x:v>
      </x:c>
      <x:c r="D1" s="1" t="s">
        <x:v>588</x:v>
      </x:c>
      <x:c r="E1" s="1" t="s">
        <x:v>236</x:v>
      </x:c>
      <x:c r="F1" s="1" t="s">
        <x:v>373</x:v>
      </x:c>
      <x:c r="G1" s="1" t="s">
        <x:v>536</x:v>
      </x:c>
    </x:row>
    <x:row r="2" spans="1:7">
      <x:c r="A2" s="18">
        <x:v>201</x:v>
      </x:c>
      <x:c r="B2">
        <x:v>101</x:v>
      </x:c>
      <x:c r="C2" t="s">
        <x:v>534</x:v>
      </x:c>
      <x:c r="D2" t="s">
        <x:v>591</x:v>
      </x:c>
      <x:c r="E2" t="s">
        <x:v>444</x:v>
      </x:c>
      <x:c r="F2" s="5" t="s">
        <x:v>509</x:v>
      </x:c>
      <x:c r="G2" t="s">
        <x:v>601</x:v>
      </x:c>
    </x:row>
    <x:row r="3" spans="1:7">
      <x:c r="A3" s="18">
        <x:v>202</x:v>
      </x:c>
      <x:c r="B3">
        <x:v>101</x:v>
      </x:c>
      <x:c r="C3" t="s">
        <x:v>616</x:v>
      </x:c>
      <x:c r="D3" t="s">
        <x:v>591</x:v>
      </x:c>
      <x:c r="E3" t="s">
        <x:v>405</x:v>
      </x:c>
      <x:c r="F3" s="5" t="s">
        <x:v>509</x:v>
      </x:c>
      <x:c r="G3" t="s">
        <x:v>614</x:v>
      </x:c>
    </x:row>
    <x:row r="4" spans="1:7">
      <x:c r="A4" s="18">
        <x:v>203</x:v>
      </x:c>
      <x:c r="B4">
        <x:v>102</x:v>
      </x:c>
      <x:c r="C4" t="s">
        <x:v>534</x:v>
      </x:c>
      <x:c r="D4" t="s">
        <x:v>591</x:v>
      </x:c>
      <x:c r="E4" t="s">
        <x:v>410</x:v>
      </x:c>
      <x:c r="F4" s="5" t="s">
        <x:v>508</x:v>
      </x:c>
      <x:c r="G4" t="s">
        <x:v>601</x:v>
      </x:c>
    </x:row>
    <x:row r="5" spans="1:7">
      <x:c r="A5" s="18">
        <x:v>204</x:v>
      </x:c>
      <x:c r="B5">
        <x:v>104</x:v>
      </x:c>
      <x:c r="C5" t="s">
        <x:v>615</x:v>
      </x:c>
      <x:c r="D5" t="s">
        <x:v>594</x:v>
      </x:c>
      <x:c r="E5" t="s">
        <x:v>92</x:v>
      </x:c>
      <x:c r="F5" s="5" t="s">
        <x:v>511</x:v>
      </x:c>
      <x:c r="G5" t="s">
        <x:v>611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I4"/>
  <x:sheetViews>
    <x:sheetView topLeftCell="A1" zoomScaleNormal="75" zoomScaleSheetLayoutView="100" workbookViewId="0">
      <x:selection activeCell="H11" activeCellId="0" sqref="H11:H11"/>
    </x:sheetView>
  </x:sheetViews>
  <x:sheetFormatPr defaultColWidth="9.140625" defaultRowHeight="14.19999999999999928946"/>
  <x:cols>
    <x:col min="1" max="4" width="10" customWidth="1"/>
    <x:col min="5" max="5" width="25.85546875" customWidth="1"/>
    <x:col min="6" max="6" width="18.85546875" customWidth="1"/>
    <x:col min="7" max="7" width="14" customWidth="1"/>
    <x:col min="8" max="8" width="16" customWidth="1"/>
    <x:col min="9" max="9" width="10" customWidth="1"/>
  </x:cols>
  <x:sheetData>
    <x:row r="1" spans="1:9" ht="22" customHeight="1">
      <x:c r="A1" s="1" t="s">
        <x:v>595</x:v>
      </x:c>
      <x:c r="B1" s="1" t="s">
        <x:v>531</x:v>
      </x:c>
      <x:c r="C1" s="1" t="s">
        <x:v>505</x:v>
      </x:c>
      <x:c r="D1" s="1" t="s">
        <x:v>515</x:v>
      </x:c>
      <x:c r="E1" s="1" t="s">
        <x:v>538</x:v>
      </x:c>
      <x:c r="F1" s="1" t="s">
        <x:v>374</x:v>
      </x:c>
      <x:c r="G1" s="1" t="s">
        <x:v>537</x:v>
      </x:c>
      <x:c r="H1" s="1" t="s">
        <x:v>231</x:v>
      </x:c>
      <x:c r="I1" s="1" t="s">
        <x:v>596</x:v>
      </x:c>
    </x:row>
    <x:row r="2" spans="1:9">
      <x:c r="A2">
        <x:v>301</x:v>
      </x:c>
      <x:c r="B2">
        <x:v>101</x:v>
      </x:c>
      <x:c r="C2">
        <x:v>1</x:v>
      </x:c>
      <x:c r="D2">
        <x:v>1</x:v>
      </x:c>
      <x:c r="E2" t="s">
        <x:v>375</x:v>
      </x:c>
      <x:c r="F2" s="19">
        <x:v>13000000</x:v>
      </x:c>
      <x:c r="G2" s="5" t="s">
        <x:v>509</x:v>
      </x:c>
      <x:c r="H2" s="5" t="s">
        <x:v>539</x:v>
      </x:c>
      <x:c r="I2" t="s">
        <x:v>590</x:v>
      </x:c>
    </x:row>
    <x:row r="3" spans="1:9">
      <x:c r="A3">
        <x:v>302</x:v>
      </x:c>
      <x:c r="B3">
        <x:v>102</x:v>
      </x:c>
      <x:c r="C3">
        <x:v>2</x:v>
      </x:c>
      <x:c r="D3">
        <x:v>2</x:v>
      </x:c>
      <x:c r="E3" t="s">
        <x:v>371</x:v>
      </x:c>
      <x:c r="F3" s="19">
        <x:v>28500000</x:v>
      </x:c>
      <x:c r="G3" s="5" t="s">
        <x:v>508</x:v>
      </x:c>
      <x:c r="H3" s="5" t="s">
        <x:v>540</x:v>
      </x:c>
      <x:c r="I3" t="s">
        <x:v>606</x:v>
      </x:c>
    </x:row>
    <x:row r="4" spans="1:9">
      <x:c r="A4">
        <x:v>303</x:v>
      </x:c>
      <x:c r="B4">
        <x:v>104</x:v>
      </x:c>
      <x:c r="C4">
        <x:v>3</x:v>
      </x:c>
      <x:c r="D4">
        <x:v>3</x:v>
      </x:c>
      <x:c r="E4" t="s">
        <x:v>235</x:v>
      </x:c>
      <x:c r="F4" s="19">
        <x:v>42000000</x:v>
      </x:c>
      <x:c r="G4" s="5" t="s">
        <x:v>511</x:v>
      </x:c>
      <x:c r="H4" s="5" t="s">
        <x:v>541</x:v>
      </x:c>
      <x:c r="I4" t="s">
        <x:v>607</x:v>
      </x:c>
    </x:row>
  </x:sheetData>
  <x:dataValidations count="1">
    <x:dataValidation type="list" allowBlank="1" sqref="E2:E500">
      <x:formula1>"inquiry,nda_signed,data_room_open,offer_submitted,offer_accepted,escrow_pending,escrow_funded,transfer_in_progress,verification_window,completed,cancelled,disputed"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F5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2" width="10" customWidth="1"/>
    <x:col min="3" max="3" width="16" customWidth="1"/>
    <x:col min="4" max="4" width="42" customWidth="1"/>
    <x:col min="5" max="6" width="14" customWidth="1"/>
  </x:cols>
  <x:sheetData>
    <x:row r="1" spans="1:6" ht="22" customHeight="1">
      <x:c r="A1" s="1" t="s">
        <x:v>599</x:v>
      </x:c>
      <x:c r="B1" s="1" t="s">
        <x:v>595</x:v>
      </x:c>
      <x:c r="C1" s="1" t="s">
        <x:v>523</x:v>
      </x:c>
      <x:c r="D1" s="1" t="s">
        <x:v>241</x:v>
      </x:c>
      <x:c r="E1" s="1" t="s">
        <x:v>542</x:v>
      </x:c>
      <x:c r="F1" s="1" t="s">
        <x:v>543</x:v>
      </x:c>
    </x:row>
    <x:row r="2" spans="1:6">
      <x:c r="A2">
        <x:v>401</x:v>
      </x:c>
      <x:c r="B2">
        <x:v>302</x:v>
      </x:c>
      <x:c r="C2" t="s">
        <x:v>454</x:v>
      </x:c>
      <x:c r="D2" t="s">
        <x:v>408</x:v>
      </x:c>
      <x:c r="E2" t="s">
        <x:v>605</x:v>
      </x:c>
      <x:c r="F2" s="5" t="s">
        <x:v>508</x:v>
      </x:c>
    </x:row>
    <x:row r="3" spans="1:6">
      <x:c r="A3">
        <x:v>402</x:v>
      </x:c>
      <x:c r="B3">
        <x:v>302</x:v>
      </x:c>
      <x:c r="C3" t="s">
        <x:v>454</x:v>
      </x:c>
      <x:c r="D3" t="s">
        <x:v>445</x:v>
      </x:c>
      <x:c r="E3" t="s">
        <x:v>544</x:v>
      </x:c>
      <x:c r="F3" s="5" t="s">
        <x:v>511</x:v>
      </x:c>
    </x:row>
    <x:row r="4" spans="1:6">
      <x:c r="A4">
        <x:v>403</x:v>
      </x:c>
      <x:c r="B4">
        <x:v>303</x:v>
      </x:c>
      <x:c r="C4" t="s">
        <x:v>587</x:v>
      </x:c>
      <x:c r="D4" t="s">
        <x:v>95</x:v>
      </x:c>
      <x:c r="E4" t="s">
        <x:v>605</x:v>
      </x:c>
      <x:c r="F4" s="5" t="s">
        <x:v>511</x:v>
      </x:c>
    </x:row>
    <x:row r="5" spans="1:6">
      <x:c r="A5">
        <x:v>404</x:v>
      </x:c>
      <x:c r="B5">
        <x:v>303</x:v>
      </x:c>
      <x:c r="C5" t="s">
        <x:v>587</x:v>
      </x:c>
      <x:c r="D5" t="s">
        <x:v>120</x:v>
      </x:c>
      <x:c r="E5" t="s">
        <x:v>590</x:v>
      </x:c>
      <x:c r="F5" s="5" t="s">
        <x:v>540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G3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2" width="10" customWidth="1"/>
    <x:col min="3" max="3" width="16" customWidth="1"/>
    <x:col min="4" max="4" width="18" customWidth="1"/>
    <x:col min="5" max="6" width="14" customWidth="1"/>
    <x:col min="7" max="7" width="28" customWidth="1"/>
  </x:cols>
  <x:sheetData>
    <x:row r="1" spans="1:7" ht="22" customHeight="1">
      <x:c r="A1" s="1" t="s">
        <x:v>545</x:v>
      </x:c>
      <x:c r="B1" s="1" t="s">
        <x:v>595</x:v>
      </x:c>
      <x:c r="C1" s="1" t="s">
        <x:v>378</x:v>
      </x:c>
      <x:c r="D1" s="1" t="s">
        <x:v>380</x:v>
      </x:c>
      <x:c r="E1" s="1" t="s">
        <x:v>546</x:v>
      </x:c>
      <x:c r="F1" s="1" t="s">
        <x:v>381</x:v>
      </x:c>
      <x:c r="G1" s="1" t="s">
        <x:v>75</x:v>
      </x:c>
    </x:row>
    <x:row r="2" spans="1:7">
      <x:c r="A2">
        <x:v>501</x:v>
      </x:c>
      <x:c r="B2">
        <x:v>302</x:v>
      </x:c>
      <x:c r="C2" s="7">
        <x:v>28500000</x:v>
      </x:c>
      <x:c r="D2" t="s">
        <x:v>617</x:v>
      </x:c>
      <x:c r="E2" s="5" t="s">
        <x:v>508</x:v>
      </x:c>
      <x:c r="F2" s="5" t="s">
        <x:v>540</x:v>
      </x:c>
      <x:c r="G2" t="s">
        <x:v>377</x:v>
      </x:c>
    </x:row>
    <x:row r="3" spans="1:7">
      <x:c r="A3">
        <x:v>502</x:v>
      </x:c>
      <x:c r="B3">
        <x:v>303</x:v>
      </x:c>
      <x:c r="C3" s="7">
        <x:v>42000000</x:v>
      </x:c>
      <x:c r="D3" t="s">
        <x:v>382</x:v>
      </x:c>
      <x:c r="E3" s="5" t="s">
        <x:v>511</x:v>
      </x:c>
      <x:c r="F3" s="5" t="s">
        <x:v>541</x:v>
      </x:c>
      <x:c r="G3" t="s">
        <x:v>446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G5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12" customWidth="1"/>
    <x:col min="2" max="2" width="14" customWidth="1"/>
    <x:col min="3" max="3" width="36" customWidth="1"/>
    <x:col min="4" max="4" width="14" customWidth="1"/>
    <x:col min="5" max="5" width="12" customWidth="1"/>
    <x:col min="6" max="6" width="20" customWidth="1"/>
    <x:col min="7" max="7" width="12" customWidth="1"/>
  </x:cols>
  <x:sheetData>
    <x:row r="1" spans="1:7" ht="22" customHeight="1">
      <x:c r="A1" s="1" t="s">
        <x:v>549</x:v>
      </x:c>
      <x:c r="B1" s="1" t="s">
        <x:v>612</x:v>
      </x:c>
      <x:c r="C1" s="1" t="s">
        <x:v>376</x:v>
      </x:c>
      <x:c r="D1" s="1" t="s">
        <x:v>379</x:v>
      </x:c>
      <x:c r="E1" s="1" t="s">
        <x:v>77</x:v>
      </x:c>
      <x:c r="F1" s="1" t="s">
        <x:v>547</x:v>
      </x:c>
      <x:c r="G1" s="1" t="s">
        <x:v>548</x:v>
      </x:c>
    </x:row>
    <x:row r="2" spans="1:7">
      <x:c r="A2">
        <x:v>601</x:v>
      </x:c>
      <x:c r="B2" t="s">
        <x:v>265</x:v>
      </x:c>
      <x:c r="C2" t="s">
        <x:v>96</x:v>
      </x:c>
      <x:c r="D2" s="5" t="s">
        <x:v>552</x:v>
      </x:c>
      <x:c r="E2" t="s">
        <x:v>597</x:v>
      </x:c>
      <x:c r="F2" t="s">
        <x:v>248</x:v>
      </x:c>
      <x:c r="G2" t="s">
        <x:v>600</x:v>
      </x:c>
    </x:row>
    <x:row r="3" spans="1:7">
      <x:c r="A3">
        <x:v>602</x:v>
      </x:c>
      <x:c r="B3" t="s">
        <x:v>587</x:v>
      </x:c>
      <x:c r="C3" t="s">
        <x:v>93</x:v>
      </x:c>
      <x:c r="D3" s="5" t="s">
        <x:v>539</x:v>
      </x:c>
      <x:c r="E3" t="s">
        <x:v>585</x:v>
      </x:c>
      <x:c r="F3" t="s">
        <x:v>248</x:v>
      </x:c>
      <x:c r="G3" t="s">
        <x:v>600</x:v>
      </x:c>
    </x:row>
    <x:row r="4" spans="1:7">
      <x:c r="A4">
        <x:v>603</x:v>
      </x:c>
      <x:c r="B4" t="s">
        <x:v>526</x:v>
      </x:c>
      <x:c r="C4" t="s">
        <x:v>94</x:v>
      </x:c>
      <x:c r="D4" s="5" t="s">
        <x:v>550</x:v>
      </x:c>
      <x:c r="E4" t="s">
        <x:v>551</x:v>
      </x:c>
      <x:c r="F4" t="s">
        <x:v>242</x:v>
      </x:c>
      <x:c r="G4" t="s">
        <x:v>602</x:v>
      </x:c>
    </x:row>
    <x:row r="5" spans="1:7">
      <x:c r="A5">
        <x:v>604</x:v>
      </x:c>
      <x:c r="B5" t="s">
        <x:v>554</x:v>
      </x:c>
      <x:c r="C5" t="s">
        <x:v>447</x:v>
      </x:c>
      <x:c r="D5" s="5" t="s">
        <x:v>540</x:v>
      </x:c>
      <x:c r="E5" t="s">
        <x:v>88</x:v>
      </x:c>
      <x:c r="F5" t="s">
        <x:v>385</x:v>
      </x:c>
      <x:c r="G5" t="s">
        <x:v>609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F5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12" customWidth="1"/>
    <x:col min="2" max="2" width="14" customWidth="1"/>
    <x:col min="3" max="3" width="18" customWidth="1"/>
    <x:col min="4" max="4" width="28" customWidth="1"/>
    <x:col min="5" max="5" width="12" customWidth="1"/>
    <x:col min="6" max="6" width="14" customWidth="1"/>
  </x:cols>
  <x:sheetData>
    <x:row r="1" spans="1:6" ht="22" customHeight="1">
      <x:c r="A1" s="1" t="s">
        <x:v>555</x:v>
      </x:c>
      <x:c r="B1" s="1" t="s">
        <x:v>608</x:v>
      </x:c>
      <x:c r="C1" s="1" t="s">
        <x:v>553</x:v>
      </x:c>
      <x:c r="D1" s="1" t="s">
        <x:v>610</x:v>
      </x:c>
      <x:c r="E1" s="1" t="s">
        <x:v>77</x:v>
      </x:c>
      <x:c r="F1" s="1" t="s">
        <x:v>558</x:v>
      </x:c>
    </x:row>
    <x:row r="2" spans="1:6">
      <x:c r="A2">
        <x:v>701</x:v>
      </x:c>
      <x:c r="B2" t="s">
        <x:v>556</x:v>
      </x:c>
      <x:c r="C2" t="s">
        <x:v>526</x:v>
      </x:c>
      <x:c r="D2" t="s">
        <x:v>244</x:v>
      </x:c>
      <x:c r="E2" t="s">
        <x:v>557</x:v>
      </x:c>
      <x:c r="F2" s="5" t="s">
        <x:v>509</x:v>
      </x:c>
    </x:row>
    <x:row r="3" spans="1:6">
      <x:c r="A3">
        <x:v>702</x:v>
      </x:c>
      <x:c r="B3" t="s">
        <x:v>613</x:v>
      </x:c>
      <x:c r="C3" t="s">
        <x:v>266</x:v>
      </x:c>
      <x:c r="D3" t="s">
        <x:v>448</x:v>
      </x:c>
      <x:c r="E3" t="s">
        <x:v>557</x:v>
      </x:c>
      <x:c r="F3" s="5" t="s">
        <x:v>508</x:v>
      </x:c>
    </x:row>
    <x:row r="4" spans="1:6">
      <x:c r="A4">
        <x:v>703</x:v>
      </x:c>
      <x:c r="B4" t="s">
        <x:v>560</x:v>
      </x:c>
      <x:c r="C4" t="s">
        <x:v>224</x:v>
      </x:c>
      <x:c r="D4" t="s">
        <x:v>386</x:v>
      </x:c>
      <x:c r="E4" t="s">
        <x:v>88</x:v>
      </x:c>
      <x:c r="F4" s="5" t="s">
        <x:v>511</x:v>
      </x:c>
    </x:row>
    <x:row r="5" spans="1:6">
      <x:c r="A5">
        <x:v>704</x:v>
      </x:c>
      <x:c r="B5" t="s">
        <x:v>559</x:v>
      </x:c>
      <x:c r="C5" t="s">
        <x:v>266</x:v>
      </x:c>
      <x:c r="D5" t="s">
        <x:v>413</x:v>
      </x:c>
      <x:c r="E5" t="s">
        <x:v>88</x:v>
      </x:c>
      <x:c r="F5" s="5" t="s">
        <x:v>512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C18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28" customWidth="1"/>
    <x:col min="2" max="2" width="18" customWidth="1"/>
    <x:col min="3" max="3" width="16" customWidth="1"/>
  </x:cols>
  <x:sheetData>
    <x:row r="1" spans="1:3" ht="22" customHeight="1">
      <x:c r="A1" s="1" t="s">
        <x:v>619</x:v>
      </x:c>
      <x:c r="B1" s="1" t="s">
        <x:v>384</x:v>
      </x:c>
      <x:c r="C1" s="1" t="s">
        <x:v>618</x:v>
      </x:c>
    </x:row>
    <x:row r="2" spans="1:3">
      <x:c r="A2" t="s">
        <x:v>387</x:v>
      </x:c>
      <x:c r="B2" s="8" t="s">
        <x:v>239</x:v>
      </x:c>
      <x:c r="C2" s="9">
        <x:f>KPI_Dashboard!B3</x:f>
        <x:v>300</x:v>
      </x:c>
    </x:row>
    <x:row r="3" spans="1:3">
      <x:c r="A3" t="s">
        <x:v>409</x:v>
      </x:c>
      <x:c r="B3" s="10" t="s">
        <x:v>621</x:v>
      </x:c>
      <x:c r="C3" s="11">
        <x:f>'Controls'!B6</x:f>
        <x:v>1000</x:v>
      </x:c>
    </x:row>
    <x:row r="4" spans="1:3">
      <x:c r="A4" t="s">
        <x:v>383</x:v>
      </x:c>
      <x:c r="B4" s="8" t="s">
        <x:v>620</x:v>
      </x:c>
      <x:c r="C4" s="9">
        <x:f>C2*C3</x:f>
        <x:v>300000</x:v>
      </x:c>
    </x:row>
    <x:row r="5" spans="1:3">
      <x:c r="A5" t="s">
        <x:v>271</x:v>
      </x:c>
      <x:c r="B5" s="10" t="s">
        <x:v>621</x:v>
      </x:c>
      <x:c r="C5" s="12">
        <x:f>'Controls'!B7</x:f>
        <x:v>0.029999999999999999</x:v>
      </x:c>
    </x:row>
    <x:row r="6" spans="1:3">
      <x:c r="A6" t="s">
        <x:v>268</x:v>
      </x:c>
      <x:c r="B6" s="8" t="s">
        <x:v>620</x:v>
      </x:c>
      <x:c r="C6" s="12">
        <x:f>C4*C5</x:f>
        <x:v>9000</x:v>
      </x:c>
    </x:row>
    <x:row r="7" spans="1:3">
      <x:c r="A7" t="s">
        <x:v>246</x:v>
      </x:c>
      <x:c r="B7" s="10" t="s">
        <x:v>621</x:v>
      </x:c>
      <x:c r="C7" s="11">
        <x:f>'Controls'!B2</x:f>
        <x:v>0.070000000000000007</x:v>
      </x:c>
    </x:row>
    <x:row r="8" spans="1:3">
      <x:c r="A8" t="s">
        <x:v>415</x:v>
      </x:c>
      <x:c r="B8" s="8" t="s">
        <x:v>620</x:v>
      </x:c>
      <x:c r="C8" s="12">
        <x:f>C6*C7</x:f>
        <x:v>630.00000000000011</x:v>
      </x:c>
    </x:row>
    <x:row r="9" spans="1:3">
      <x:c r="A9" t="s">
        <x:v>417</x:v>
      </x:c>
      <x:c r="B9" s="8" t="s">
        <x:v>622</x:v>
      </x:c>
      <x:c r="C9" s="4" t="s">
        <x:v>269</x:v>
      </x:c>
    </x:row>
    <x:row r="10" spans="1:3">
      <x:c r="A10" t="s">
        <x:v>63</x:v>
      </x:c>
      <x:c r="B10" s="10" t="s">
        <x:v>621</x:v>
      </x:c>
      <x:c r="C10" s="12">
        <x:f>'Controls'!B3</x:f>
        <x:v>150000</x:v>
      </x:c>
    </x:row>
    <x:row r="11" spans="1:3">
      <x:c r="A11" t="s">
        <x:v>243</x:v>
      </x:c>
      <x:c r="B11" s="8" t="s">
        <x:v>620</x:v>
      </x:c>
      <x:c r="C11" s="12">
        <x:f>C9*C10</x:f>
        <x:v>7500000</x:v>
      </x:c>
    </x:row>
    <x:row r="12" spans="1:3">
      <x:c r="A12" t="s">
        <x:v>238</x:v>
      </x:c>
      <x:c r="B12" s="8" t="s">
        <x:v>622</x:v>
      </x:c>
      <x:c r="C12" s="4" t="s">
        <x:v>270</x:v>
      </x:c>
    </x:row>
    <x:row r="13" spans="1:3">
      <x:c r="A13" t="s">
        <x:v>129</x:v>
      </x:c>
      <x:c r="B13" s="10" t="s">
        <x:v>621</x:v>
      </x:c>
      <x:c r="C13" s="12">
        <x:f>'Controls'!B4</x:f>
        <x:v>200000</x:v>
      </x:c>
    </x:row>
    <x:row r="14" spans="1:3">
      <x:c r="A14" t="s">
        <x:v>416</x:v>
      </x:c>
      <x:c r="B14" s="8" t="s">
        <x:v>620</x:v>
      </x:c>
      <x:c r="C14" s="12">
        <x:f>C12*C13</x:f>
        <x:v>4000000</x:v>
      </x:c>
    </x:row>
    <x:row r="15" spans="1:3">
      <x:c r="A15" t="s">
        <x:v>247</x:v>
      </x:c>
      <x:c r="B15" s="8" t="s">
        <x:v>622</x:v>
      </x:c>
      <x:c r="C15" s="4" t="s">
        <x:v>267</x:v>
      </x:c>
    </x:row>
    <x:row r="16" spans="1:3">
      <x:c r="A16" t="s">
        <x:v>60</x:v>
      </x:c>
      <x:c r="B16" s="10" t="s">
        <x:v>621</x:v>
      </x:c>
      <x:c r="C16" s="12">
        <x:f>'Controls'!B5</x:f>
        <x:v>100000</x:v>
      </x:c>
    </x:row>
    <x:row r="17" spans="1:3">
      <x:c r="A17" t="s">
        <x:v>419</x:v>
      </x:c>
      <x:c r="B17" s="8" t="s">
        <x:v>620</x:v>
      </x:c>
      <x:c r="C17" s="12">
        <x:f>C15*C16</x:f>
        <x:v>1500000</x:v>
      </x:c>
    </x:row>
    <x:row r="18" spans="1:3">
      <x:c r="A18" s="13" t="s">
        <x:v>418</x:v>
      </x:c>
      <x:c r="B18" s="8" t="s">
        <x:v>620</x:v>
      </x:c>
      <x:c r="C18" s="14">
        <x:f>SUM(C8,C11,C14,C17)</x:f>
        <x:v>13000630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legacyDrawing r:id="rId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D10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24" customWidth="1"/>
    <x:col min="2" max="2" width="18" customWidth="1"/>
    <x:col min="3" max="3" width="16" customWidth="1"/>
    <x:col min="4" max="4" width="24" customWidth="1"/>
  </x:cols>
  <x:sheetData>
    <x:row r="1" spans="1:4">
      <x:c r="A1" s="17" t="s">
        <x:v>251</x:v>
      </x:c>
      <x:c r="B1" s="17"/>
      <x:c r="C1" s="17"/>
      <x:c r="D1" s="17"/>
    </x:row>
    <x:row r="2" spans="1:4" ht="22" customHeight="1">
      <x:c r="A2" s="1" t="s">
        <x:v>619</x:v>
      </x:c>
      <x:c r="B2" s="1" t="s">
        <x:v>76</x:v>
      </x:c>
      <x:c r="C2" s="1" t="s">
        <x:v>579</x:v>
      </x:c>
      <x:c r="D2" s="1" t="s">
        <x:v>75</x:v>
      </x:c>
    </x:row>
    <x:row r="3" spans="1:4">
      <x:c r="A3" t="s">
        <x:v>256</x:v>
      </x:c>
      <x:c r="B3" s="15">
        <x:f>COUNTA(Asset_Catalog!A:A)-1</x:f>
        <x:v>300</x:v>
      </x:c>
      <x:c r="C3" s="4">
        <x:v>300</x:v>
      </x:c>
      <x:c r="D3" t="s">
        <x:v>390</x:v>
      </x:c>
    </x:row>
    <x:row r="4" spans="1:4">
      <x:c r="A4" t="s">
        <x:v>387</x:v>
      </x:c>
      <x:c r="B4" s="15">
        <x:f>COUNTIF(Listings!F:F,"active")</x:f>
        <x:v>3</x:v>
      </x:c>
      <x:c r="C4" s="4">
        <x:v>1000</x:v>
      </x:c>
      <x:c r="D4" t="s">
        <x:v>574</x:v>
      </x:c>
    </x:row>
    <x:row r="5" spans="1:4">
      <x:c r="A5" t="s">
        <x:v>394</x:v>
      </x:c>
      <x:c r="B5" s="15">
        <x:f>COUNTIF(Listings!F:F,"sold")</x:f>
        <x:v>1</x:v>
      </x:c>
      <x:c r="C5" s="4">
        <x:v>30</x:v>
      </x:c>
      <x:c r="D5" t="s">
        <x:v>397</x:v>
      </x:c>
    </x:row>
    <x:row r="6" spans="1:4">
      <x:c r="A6" t="s">
        <x:v>561</x:v>
      </x:c>
      <x:c r="B6" s="15">
        <x:f>COUNTA(Deals!A:A)-1</x:f>
        <x:v>3</x:v>
      </x:c>
      <x:c r="C6" s="4">
        <x:v>20</x:v>
      </x:c>
      <x:c r="D6" t="s">
        <x:v>250</x:v>
      </x:c>
    </x:row>
    <x:row r="7" spans="1:4">
      <x:c r="A7" t="s">
        <x:v>252</x:v>
      </x:c>
      <x:c r="B7" s="15">
        <x:f>COUNTIF(Escrow!D:D,"funded")</x:f>
        <x:v>1</x:v>
      </x:c>
      <x:c r="C7" s="4">
        <x:v>10</x:v>
      </x:c>
      <x:c r="D7" t="s">
        <x:v>398</x:v>
      </x:c>
    </x:row>
    <x:row r="8" spans="1:4">
      <x:c r="A8" t="s">
        <x:v>255</x:v>
      </x:c>
      <x:c r="B8" s="15">
        <x:f>COUNTIF(Listings!K:K,"verified_full")+COUNTIF(Listings!K:K,"verified_ownership")+COUNTIF(Listings!K:K,"verified_basic")</x:f>
        <x:v>4</x:v>
      </x:c>
      <x:c r="C8" s="4">
        <x:v>300</x:v>
      </x:c>
      <x:c r="D8" t="s">
        <x:v>395</x:v>
      </x:c>
    </x:row>
    <x:row r="9" spans="1:4">
      <x:c r="A9" t="s">
        <x:v>253</x:v>
      </x:c>
      <x:c r="B9" s="16">
        <x:f>SUM(Listings!J:J)</x:f>
        <x:v>106000000</x:v>
      </x:c>
      <x:c r="C9" s="3">
        <x:v>500000000</x:v>
      </x:c>
      <x:c r="D9" t="s">
        <x:v>391</x:v>
      </x:c>
    </x:row>
    <x:row r="10" spans="1:4">
      <x:c r="A10" t="s">
        <x:v>388</x:v>
      </x:c>
      <x:c r="B10" s="16">
        <x:f>'Revenue_Model'!C18</x:f>
        <x:v>13000630</x:v>
      </x:c>
      <x:c r="C10" s="3">
        <x:v>15000000</x:v>
      </x:c>
      <x:c r="D10" t="s">
        <x:v>396</x:v>
      </x:c>
    </x:row>
  </x:sheetData>
  <x:mergeCells count="1">
    <x:mergeCell ref="A1:D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G5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10" customWidth="1"/>
    <x:col min="2" max="2" width="18" customWidth="1"/>
    <x:col min="3" max="4" width="12" customWidth="1"/>
    <x:col min="5" max="5" width="38" customWidth="1"/>
    <x:col min="6" max="6" width="14" customWidth="1"/>
    <x:col min="7" max="7" width="18" customWidth="1"/>
  </x:cols>
  <x:sheetData>
    <x:row r="1" spans="1:7" ht="22" customHeight="1">
      <x:c r="A1" s="1" t="s">
        <x:v>624</x:v>
      </x:c>
      <x:c r="B1" s="1" t="s">
        <x:v>570</x:v>
      </x:c>
      <x:c r="C1" s="1" t="s">
        <x:v>623</x:v>
      </x:c>
      <x:c r="D1" s="1" t="s">
        <x:v>569</x:v>
      </x:c>
      <x:c r="E1" s="1" t="s">
        <x:v>568</x:v>
      </x:c>
      <x:c r="F1" s="1" t="s">
        <x:v>77</x:v>
      </x:c>
      <x:c r="G1" s="1" t="s">
        <x:v>575</x:v>
      </x:c>
    </x:row>
    <x:row r="2" spans="1:7">
      <x:c r="A2">
        <x:v>801</x:v>
      </x:c>
      <x:c r="B2" t="s">
        <x:v>576</x:v>
      </x:c>
      <x:c r="C2" t="s">
        <x:v>572</x:v>
      </x:c>
      <x:c r="D2" t="s">
        <x:v>85</x:v>
      </x:c>
      <x:c r="E2" t="s">
        <x:v>258</x:v>
      </x:c>
      <x:c r="F2" t="s">
        <x:v>577</x:v>
      </x:c>
      <x:c r="G2" t="s">
        <x:v>567</x:v>
      </x:c>
    </x:row>
    <x:row r="3" spans="1:7">
      <x:c r="A3">
        <x:v>802</x:v>
      </x:c>
      <x:c r="B3" t="s">
        <x:v>400</x:v>
      </x:c>
      <x:c r="C3" t="s">
        <x:v>523</x:v>
      </x:c>
      <x:c r="D3" t="s">
        <x:v>85</x:v>
      </x:c>
      <x:c r="E3" t="s">
        <x:v>91</x:v>
      </x:c>
      <x:c r="F3" t="s">
        <x:v>571</x:v>
      </x:c>
      <x:c r="G3" t="s">
        <x:v>567</x:v>
      </x:c>
    </x:row>
    <x:row r="4" spans="1:7">
      <x:c r="A4">
        <x:v>803</x:v>
      </x:c>
      <x:c r="B4" t="s">
        <x:v>399</x:v>
      </x:c>
      <x:c r="C4" t="s">
        <x:v>578</x:v>
      </x:c>
      <x:c r="D4" t="s">
        <x:v>83</x:v>
      </x:c>
      <x:c r="E4" t="s">
        <x:v>97</x:v>
      </x:c>
      <x:c r="F4" t="s">
        <x:v>577</x:v>
      </x:c>
      <x:c r="G4" t="s">
        <x:v>249</x:v>
      </x:c>
    </x:row>
    <x:row r="5" spans="1:7">
      <x:c r="A5">
        <x:v>804</x:v>
      </x:c>
      <x:c r="B5" t="s">
        <x:v>254</x:v>
      </x:c>
      <x:c r="C5" t="s">
        <x:v>523</x:v>
      </x:c>
      <x:c r="D5" t="s">
        <x:v>85</x:v>
      </x:c>
      <x:c r="E5" t="s">
        <x:v>259</x:v>
      </x:c>
      <x:c r="F5" t="s">
        <x:v>577</x:v>
      </x:c>
      <x:c r="G5" t="s">
        <x:v>573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F5"/>
  <x:sheetViews>
    <x:sheetView topLeftCell="A1" zoomScaleNormal="75" zoomScaleSheetLayoutView="100" workbookViewId="0">
      <x:selection activeCell="A1" activeCellId="0" sqref="A1:A1"/>
    </x:sheetView>
  </x:sheetViews>
  <x:sheetFormatPr defaultColWidth="9.140625" defaultRowHeight="14.19999999999999928946"/>
  <x:cols>
    <x:col min="1" max="1" width="10" customWidth="1"/>
    <x:col min="2" max="2" width="18" customWidth="1"/>
    <x:col min="3" max="5" width="12" customWidth="1"/>
    <x:col min="6" max="6" width="36" customWidth="1"/>
  </x:cols>
  <x:sheetData>
    <x:row r="1" spans="1:6" ht="22" customHeight="1">
      <x:c r="A1" s="1" t="s">
        <x:v>562</x:v>
      </x:c>
      <x:c r="B1" s="1" t="s">
        <x:v>580</x:v>
      </x:c>
      <x:c r="C1" s="1" t="s">
        <x:v>393</x:v>
      </x:c>
      <x:c r="D1" s="1" t="s">
        <x:v>564</x:v>
      </x:c>
      <x:c r="E1" s="1" t="s">
        <x:v>77</x:v>
      </x:c>
      <x:c r="F1" s="1" t="s">
        <x:v>563</x:v>
      </x:c>
    </x:row>
    <x:row r="2" spans="1:6">
      <x:c r="A2">
        <x:v>901</x:v>
      </x:c>
      <x:c r="B2" t="s">
        <x:v>392</x:v>
      </x:c>
      <x:c r="C2">
        <x:v>101</x:v>
      </x:c>
      <x:c r="D2" t="s">
        <x:v>581</x:v>
      </x:c>
      <x:c r="E2" t="s">
        <x:v>590</x:v>
      </x:c>
      <x:c r="F2" t="s">
        <x:v>414</x:v>
      </x:c>
    </x:row>
    <x:row r="3" spans="1:6">
      <x:c r="A3">
        <x:v>902</x:v>
      </x:c>
      <x:c r="B3" t="s">
        <x:v>389</x:v>
      </x:c>
      <x:c r="C3">
        <x:v>302</x:v>
      </x:c>
      <x:c r="D3" t="s">
        <x:v>581</x:v>
      </x:c>
      <x:c r="E3" t="s">
        <x:v>88</x:v>
      </x:c>
      <x:c r="F3" t="s">
        <x:v>420</x:v>
      </x:c>
    </x:row>
    <x:row r="4" spans="1:6">
      <x:c r="A4">
        <x:v>903</x:v>
      </x:c>
      <x:c r="B4" t="s">
        <x:v>565</x:v>
      </x:c>
      <x:c r="C4">
        <x:v>303</x:v>
      </x:c>
      <x:c r="D4" t="s">
        <x:v>582</x:v>
      </x:c>
      <x:c r="E4" t="s">
        <x:v>577</x:v>
      </x:c>
      <x:c r="F4" t="s">
        <x:v>450</x:v>
      </x:c>
    </x:row>
    <x:row r="5" spans="1:6">
      <x:c r="A5">
        <x:v>904</x:v>
      </x:c>
      <x:c r="B5" t="s">
        <x:v>566</x:v>
      </x:c>
      <x:c r="C5">
        <x:v>105</x:v>
      </x:c>
      <x:c r="D5" t="s">
        <x:v>581</x:v>
      </x:c>
      <x:c r="E5" t="s">
        <x:v>583</x:v>
      </x:c>
      <x:c r="F5" t="s">
        <x:v>449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7" baseType="lpstr">
      <vt:lpstr>Controls</vt:lpstr>
      <vt:lpstr>README</vt:lpstr>
      <vt:lpstr>Asset_Catalog</vt:lpstr>
      <vt:lpstr>Sellers</vt:lpstr>
      <vt:lpstr>Buyers</vt:lpstr>
      <vt:lpstr>Outreach_Leads</vt:lpstr>
      <vt:lpstr>Listings</vt:lpstr>
      <vt:lpstr>Verification</vt:lpstr>
      <vt:lpstr>Deals</vt:lpstr>
      <vt:lpstr>Transfer_Checklists</vt:lpstr>
      <vt:lpstr>Escrow</vt:lpstr>
      <vt:lpstr>Marketing_Calendar</vt:lpstr>
      <vt:lpstr>AI_Pipeline</vt:lpstr>
      <vt:lpstr>Revenue_Model</vt:lpstr>
      <vt:lpstr>KPI_Dashboard</vt:lpstr>
      <vt:lpstr>Risk_Log</vt:lpstr>
      <vt:lpstr>Admin_Ops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2026-03-06T17:21:44.500</dcterms:created>
  <dcterms:modified xsi:type="dcterms:W3CDTF">2026-03-06T17:29:53.117</dcterms:modified>
  <cp:version>1300.0100.01</cp:version>
</cp:coreProperties>
</file>